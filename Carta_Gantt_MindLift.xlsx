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mia\Desktop\"/>
    </mc:Choice>
  </mc:AlternateContent>
  <xr:revisionPtr revIDLastSave="0" documentId="13_ncr:1_{0E00389F-40AA-4BAE-99E8-FB6BFD7DBE41}" xr6:coauthVersionLast="47" xr6:coauthVersionMax="47" xr10:uidLastSave="{00000000-0000-0000-0000-000000000000}"/>
  <bookViews>
    <workbookView xWindow="-108" yWindow="-108" windowWidth="23256" windowHeight="12456" xr2:uid="{00000000-000D-0000-FFFF-FFFF00000000}"/>
  </bookViews>
  <sheets>
    <sheet name="GanttChart" sheetId="1" r:id="rId1"/>
    <sheet name="GanttChartPro" sheetId="2" r:id="rId2"/>
    <sheet name="Help" sheetId="3" r:id="rId3"/>
    <sheet name="TermsOfUse" sheetId="4" r:id="rId4"/>
  </sheets>
  <definedNames>
    <definedName name="_xlnm.Print_Area" localSheetId="0">GanttChart!$A$1:$BN$37</definedName>
    <definedName name="_xlnm.Print_Area" localSheetId="1">GanttChartPro!$A$1:$C$47</definedName>
    <definedName name="prevWBS" localSheetId="0">GanttChart!$A1048576</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7" i="1" l="1"/>
  <c r="A40" i="1"/>
  <c r="A41" i="1" s="1"/>
  <c r="A42" i="1" s="1"/>
  <c r="A43" i="1" s="1"/>
  <c r="F40" i="1"/>
  <c r="I40" i="1"/>
  <c r="F41" i="1"/>
  <c r="I41" i="1"/>
  <c r="F42" i="1"/>
  <c r="I42" i="1"/>
  <c r="F43" i="1"/>
  <c r="I43" i="1" s="1"/>
  <c r="A44" i="1"/>
  <c r="I36" i="1"/>
  <c r="F35" i="1"/>
  <c r="I35" i="1" s="1"/>
  <c r="F34" i="1"/>
  <c r="I34" i="1" s="1"/>
  <c r="F33" i="1"/>
  <c r="I33" i="1" s="1"/>
  <c r="I32" i="1"/>
  <c r="F32" i="1"/>
  <c r="F31" i="1"/>
  <c r="I31" i="1" s="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K6" i="1"/>
  <c r="K7" i="1" l="1"/>
  <c r="K4" i="1"/>
  <c r="K5" i="1"/>
  <c r="L6" i="1"/>
  <c r="L7" i="1" l="1"/>
  <c r="M6" i="1"/>
  <c r="N6" i="1" l="1"/>
  <c r="M7" i="1"/>
  <c r="O6" i="1" l="1"/>
  <c r="N7" i="1"/>
  <c r="P6" i="1" l="1"/>
  <c r="O7" i="1"/>
  <c r="Q6" i="1" l="1"/>
  <c r="P7" i="1"/>
  <c r="R6" i="1" l="1"/>
  <c r="Q7" i="1"/>
  <c r="S6" i="1" l="1"/>
  <c r="R7" i="1"/>
  <c r="R4" i="1"/>
  <c r="R5" i="1"/>
  <c r="S7" i="1" l="1"/>
  <c r="T6" i="1"/>
  <c r="T7" i="1" l="1"/>
  <c r="U6" i="1"/>
  <c r="V6" i="1" l="1"/>
  <c r="U7" i="1"/>
  <c r="V7" i="1" l="1"/>
  <c r="W6" i="1"/>
  <c r="W7" i="1" l="1"/>
  <c r="X6" i="1"/>
  <c r="X7" i="1" l="1"/>
  <c r="Y6" i="1"/>
  <c r="Y4" i="1" l="1"/>
  <c r="Y5" i="1"/>
  <c r="Z6" i="1"/>
  <c r="Y7" i="1"/>
  <c r="AA6" i="1" l="1"/>
  <c r="Z7" i="1"/>
  <c r="AB6" i="1" l="1"/>
  <c r="AA7" i="1"/>
  <c r="AC6" i="1" l="1"/>
  <c r="AB7" i="1"/>
  <c r="AD6" i="1" l="1"/>
  <c r="AC7" i="1"/>
  <c r="AE6" i="1" l="1"/>
  <c r="AD7" i="1"/>
  <c r="AE7" i="1" l="1"/>
  <c r="AF6" i="1"/>
  <c r="AF7" i="1" l="1"/>
  <c r="AF4" i="1"/>
  <c r="AF5" i="1"/>
  <c r="AG6" i="1"/>
  <c r="AH6" i="1" l="1"/>
  <c r="AG7" i="1"/>
  <c r="AH7" i="1" l="1"/>
  <c r="AI6" i="1"/>
  <c r="AI7" i="1" l="1"/>
  <c r="AJ6" i="1"/>
  <c r="AJ7" i="1" l="1"/>
  <c r="AK6" i="1"/>
  <c r="AK7" i="1" l="1"/>
  <c r="AL6" i="1"/>
  <c r="AM6" i="1" l="1"/>
  <c r="AL7" i="1"/>
  <c r="AM4" i="1" l="1"/>
  <c r="AM5" i="1"/>
  <c r="AN6" i="1"/>
  <c r="AM7" i="1"/>
  <c r="AO6" i="1" l="1"/>
  <c r="AN7" i="1"/>
  <c r="AP6" i="1" l="1"/>
  <c r="AO7" i="1"/>
  <c r="AQ6" i="1" l="1"/>
  <c r="AP7" i="1"/>
  <c r="AQ7" i="1" l="1"/>
  <c r="AR6" i="1"/>
  <c r="AR7" i="1" l="1"/>
  <c r="AS6" i="1"/>
  <c r="AT6" i="1" l="1"/>
  <c r="AS7" i="1"/>
  <c r="AT5" i="1" l="1"/>
  <c r="AT7" i="1"/>
  <c r="AT4" i="1"/>
  <c r="AU6" i="1"/>
  <c r="AU7" i="1" l="1"/>
  <c r="AV6" i="1"/>
  <c r="AV7" i="1" l="1"/>
  <c r="AW6" i="1"/>
  <c r="AW7" i="1" l="1"/>
  <c r="AX6" i="1"/>
  <c r="AY6" i="1" l="1"/>
  <c r="AX7" i="1"/>
  <c r="AZ6" i="1" l="1"/>
  <c r="AY7" i="1"/>
  <c r="BA6" i="1" l="1"/>
  <c r="AZ7" i="1"/>
  <c r="BA5" i="1" l="1"/>
  <c r="BB6" i="1"/>
  <c r="BA4" i="1"/>
  <c r="BA7" i="1"/>
  <c r="BC6" i="1" l="1"/>
  <c r="BB7" i="1"/>
  <c r="BC7" i="1" l="1"/>
  <c r="BD6" i="1"/>
  <c r="BD7" i="1" l="1"/>
  <c r="BE6" i="1"/>
  <c r="BF6" i="1" l="1"/>
  <c r="BE7" i="1"/>
  <c r="BF7" i="1" l="1"/>
  <c r="BG6" i="1"/>
  <c r="BG7" i="1" l="1"/>
  <c r="BH6" i="1"/>
  <c r="BH7" i="1" l="1"/>
  <c r="BH4" i="1"/>
  <c r="BH5" i="1"/>
  <c r="BI6" i="1"/>
  <c r="BI7" i="1" l="1"/>
  <c r="BJ6" i="1"/>
  <c r="BK6" i="1" l="1"/>
  <c r="BJ7" i="1"/>
  <c r="BL6" i="1" l="1"/>
  <c r="BK7" i="1"/>
  <c r="BM6" i="1" l="1"/>
  <c r="BL7" i="1"/>
  <c r="BN6" i="1" l="1"/>
  <c r="BM7" i="1"/>
  <c r="BO6" i="1" l="1"/>
  <c r="BN7" i="1"/>
  <c r="BO7" i="1" l="1"/>
  <c r="BO5" i="1"/>
  <c r="BP6" i="1"/>
  <c r="BO4" i="1"/>
  <c r="BP7" i="1" l="1"/>
  <c r="BQ6" i="1"/>
  <c r="BR6" i="1" l="1"/>
  <c r="BQ7" i="1"/>
  <c r="BR7" i="1" l="1"/>
  <c r="BS6" i="1"/>
  <c r="BS7" i="1" l="1"/>
  <c r="BT6" i="1"/>
  <c r="BT7" i="1" l="1"/>
  <c r="BU6" i="1"/>
  <c r="BU7" i="1" l="1"/>
  <c r="BV6" i="1"/>
  <c r="BV5" i="1" l="1"/>
  <c r="BW6" i="1"/>
  <c r="BV7" i="1"/>
  <c r="BV4" i="1"/>
  <c r="BX6" i="1" l="1"/>
  <c r="BW7" i="1"/>
  <c r="BY6" i="1" l="1"/>
  <c r="BX7" i="1"/>
  <c r="BZ6" i="1" l="1"/>
  <c r="BY7" i="1"/>
  <c r="CA6" i="1" l="1"/>
  <c r="BZ7" i="1"/>
  <c r="CA7" i="1" l="1"/>
  <c r="CB6" i="1"/>
  <c r="CB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sz val="10"/>
            <rFont val="Arial"/>
          </rPr>
          <t>Work Breakdown Structure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sz val="10"/>
            <rFont val="Arial"/>
          </rPr>
          <t>Task Description
Enter the name of each task and sub-task. Use indents for sub-tasks.</t>
        </r>
      </text>
    </comment>
    <comment ref="C7" authorId="0" shapeId="0" xr:uid="{00000000-0006-0000-0000-000003000000}">
      <text>
        <r>
          <rPr>
            <sz val="10"/>
            <rFont val="Arial"/>
          </rPr>
          <t>Task Lead
Enter the name of the Task Lead in this column.</t>
        </r>
      </text>
    </comment>
    <comment ref="D7" authorId="0" shapeId="0" xr:uid="{00000000-0006-0000-0000-000004000000}">
      <text>
        <r>
          <rPr>
            <sz val="10"/>
            <rFont val="Arial"/>
          </rPr>
          <t>Predecessor Tasks:
You can use this column to enter the WBS of a predecessor for reference. The PRO version uses formulas to automatically calculate the Start Date based on the Predecessor.</t>
        </r>
      </text>
    </comment>
    <comment ref="E7" authorId="0" shapeId="0" xr:uid="{00000000-0006-0000-0000-000005000000}">
      <text>
        <r>
          <rPr>
            <sz val="10"/>
            <rFont val="Arial"/>
          </rPr>
          <t>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r>
      </text>
    </comment>
    <comment ref="F7" authorId="1" shapeId="0" xr:uid="{00000000-0006-0000-0000-000006000000}">
      <text>
        <r>
          <rPr>
            <sz val="10"/>
            <rFont val="Arial"/>
          </rPr>
          <t>End Date:
The End Date is calculated based on the Start Date and the Calendar Days columns.</t>
        </r>
      </text>
    </comment>
    <comment ref="G7" authorId="0" shapeId="0" xr:uid="{00000000-0006-0000-0000-000007000000}">
      <text>
        <r>
          <rPr>
            <sz val="10"/>
            <rFont val="Arial"/>
          </rPr>
          <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r>
      </text>
    </comment>
    <comment ref="H7" authorId="0" shapeId="0" xr:uid="{00000000-0006-0000-0000-000008000000}">
      <text>
        <r>
          <rPr>
            <sz val="10"/>
            <rFont val="Arial"/>
          </rPr>
          <t>Percent Complete
Update the status of this task by entering the percent complete (between 0% and 100%).</t>
        </r>
      </text>
    </comment>
    <comment ref="I7" authorId="0" shapeId="0" xr:uid="{00000000-0006-0000-0000-000009000000}">
      <text>
        <r>
          <rPr>
            <sz val="10"/>
            <rFont val="Arial"/>
          </rPr>
          <t>Work Days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10"/>
            <rFont val="Arial"/>
          </rPr>
          <t>This is an example comment.</t>
        </r>
      </text>
    </comment>
  </commentList>
</comments>
</file>

<file path=xl/sharedStrings.xml><?xml version="1.0" encoding="utf-8"?>
<sst xmlns="http://schemas.openxmlformats.org/spreadsheetml/2006/main" count="190" uniqueCount="162">
  <si>
    <t>MindLift - Carta Gantt Proyecto</t>
  </si>
  <si>
    <t>Gantt Chart Template © 2006-2018 by Vertex42.com.</t>
  </si>
  <si>
    <t>Desarrollo Plataforma Rehabilitación</t>
  </si>
  <si>
    <t xml:space="preserve">Project Start Date </t>
  </si>
  <si>
    <t xml:space="preserve">Display Week </t>
  </si>
  <si>
    <t xml:space="preserve">Project Lead </t>
  </si>
  <si>
    <t>WBS</t>
  </si>
  <si>
    <t>TASK</t>
  </si>
  <si>
    <t>LEAD</t>
  </si>
  <si>
    <t>PREDECESSOR</t>
  </si>
  <si>
    <t>START</t>
  </si>
  <si>
    <t>END</t>
  </si>
  <si>
    <t>DAYS</t>
  </si>
  <si>
    <t>% DONE</t>
  </si>
  <si>
    <t>WORK DAYS</t>
  </si>
  <si>
    <t>Planificación y Análisis</t>
  </si>
  <si>
    <t>Equipo</t>
  </si>
  <si>
    <t>Levantamiento de requerimientos</t>
  </si>
  <si>
    <t>Diseño y Arquitectura</t>
  </si>
  <si>
    <t>Diseño arquitectura MindLift</t>
  </si>
  <si>
    <t>Diseño Base de Datos</t>
  </si>
  <si>
    <t>Backend</t>
  </si>
  <si>
    <t>Desarrollo Frontend</t>
  </si>
  <si>
    <t>Frontend</t>
  </si>
  <si>
    <t>Página pública y navegación</t>
  </si>
  <si>
    <t>Módulo Pacientes</t>
  </si>
  <si>
    <t>Módulo Profesionales</t>
  </si>
  <si>
    <t>Módulo Administrador</t>
  </si>
  <si>
    <t>Desarrollo Backend</t>
  </si>
  <si>
    <t>API REST y MySQL</t>
  </si>
  <si>
    <t>Login por roles</t>
  </si>
  <si>
    <t>Integración y Pruebas</t>
  </si>
  <si>
    <t>Integración Front-Back</t>
  </si>
  <si>
    <t>Pruebas Postman</t>
  </si>
  <si>
    <t>QA</t>
  </si>
  <si>
    <t>Pruebas Unitarias</t>
  </si>
  <si>
    <t>Corrección errores y documentación</t>
  </si>
  <si>
    <t>[Task]</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</si>
  <si>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</si>
  <si>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</si>
  <si>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</si>
  <si>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</si>
  <si>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</si>
  <si>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</si>
  <si>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Gantt Chart Template Pro</t>
  </si>
  <si>
    <t>Gantt Chart Template Pro is similar to this free version, but</t>
  </si>
  <si>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</si>
  <si>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</si>
  <si>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</si>
  <si>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</si>
  <si>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</si>
  <si>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</si>
  <si>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</si>
  <si>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</si>
  <si>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</si>
  <si>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</si>
  <si>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</si>
  <si>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</si>
  <si>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</si>
  <si>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</si>
  <si>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</si>
  <si>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</si>
  <si>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</si>
  <si>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</si>
  <si>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</si>
  <si>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</si>
  <si>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</si>
  <si>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</si>
  <si>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</si>
  <si>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</si>
  <si>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</si>
  <si>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</si>
  <si>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</si>
  <si>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</si>
  <si>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</si>
  <si>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</si>
  <si>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</si>
  <si>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</si>
  <si>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</si>
  <si>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</si>
  <si>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</si>
  <si>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</si>
  <si>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</si>
  <si>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</si>
  <si>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</si>
  <si>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</si>
  <si>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</si>
  <si>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</si>
  <si>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</si>
  <si>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</si>
  <si>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</si>
  <si>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</si>
  <si>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t>• Backup your file regularly to avoid losing data! Excel files get corrupted occasionally.</t>
  </si>
  <si>
    <t>Inserting New Tasks (Rows)</t>
  </si>
  <si>
    <t>When inserting and deleting tasks, you need to insert and delete entire rows. Some columns contain formulas (such as the End Date and the Work Days columns), so these formulas need to copied to the newly inserted rows.</t>
  </si>
  <si>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</si>
  <si>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</si>
  <si>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</si>
  <si>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</si>
  <si>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</si>
  <si>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</si>
  <si>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</si>
  <si>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</si>
  <si>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</si>
  <si>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</si>
  <si>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</si>
  <si>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</si>
  <si>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</si>
  <si>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</si>
  <si>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</si>
  <si>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</si>
  <si>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</si>
  <si>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</si>
  <si>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</si>
  <si>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</si>
  <si>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</si>
  <si>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</si>
  <si>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t>• Use the formula =WORKDAY(enddate,1) where enddate is the reference to the End date of a predecessor task.</t>
  </si>
  <si>
    <t>• For multiple predecessors, the formula would be =MAX(WORKDAY(enddate1,1),WORKDAY(enddate2,1))</t>
  </si>
  <si>
    <t>D.</t>
  </si>
  <si>
    <t>Set the Start date to the next Calendar Day after another task's End date.</t>
  </si>
  <si>
    <t>• This formula is very simple: =enddate+1</t>
  </si>
  <si>
    <t>• For multiple predecessors, the formula would be =MAX(enddate1,enddate2,enddate3)+1</t>
  </si>
  <si>
    <t>E.</t>
  </si>
  <si>
    <t>Set the Start date to a number of days before or after another date.</t>
  </si>
  <si>
    <t>• This formula is just like the one in C or D, except that in place of the "1" you enter the number of days, such as =WORKDAY(enddate,5) or =WORKDAY(startdate,-5)</t>
  </si>
  <si>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</si>
  <si>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</si>
  <si>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</si>
  <si>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</si>
  <si>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</si>
  <si>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</si>
  <si>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</si>
  <si>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t>How do I enter the Work Days instead of Calendar Days?</t>
  </si>
  <si>
    <t>Entering work days instead of calendar days is a feature of the Pro version. There is nothing in the free version preventing you from entering your own formulas, though.</t>
  </si>
  <si>
    <t>How do I calculate Calendar Days after entering the Start and End Dates?</t>
  </si>
  <si>
    <t>You can calculate the duration in calendar days (including both start and end dates) using the formula =enddate-startdate+1</t>
  </si>
  <si>
    <t>How do I change the Print Settings? (Excel 2010, 2013)</t>
  </si>
  <si>
    <t>Select the entire range of cells you want to print and go to File &gt; Print Area &gt; Set Print Area. Then go to File &gt; Page Setup or File &gt; Print Preview and adjust the Scaling, Margins, and Page Orientation as desired.</t>
  </si>
  <si>
    <t>How do I increase the range of dates displayed in the Gantt chart?</t>
  </si>
  <si>
    <t>You will need to add columns to the right of the Gantt Chart via copy/paste. Copy and paste the columns in groups of 7. Afterwards, you will also probably need to update the print area.</t>
  </si>
  <si>
    <t>How do I create a summary row that shows the MIN and MAX dates for all sub-tasks?</t>
  </si>
  <si>
    <t>In the Start column, use the formula =MIN(range_of_start_dates)</t>
  </si>
  <si>
    <t>In the End column, use the formula =MAX(range_of_end_dates)</t>
  </si>
  <si>
    <t>In the Days column, use the formula =end_date-start_date+1</t>
  </si>
  <si>
    <t>How do I calculate the %Complete for an entire category of tasks?</t>
  </si>
  <si>
    <t>The %Complete for a group of tasks can be calculated from its sub tasks using the formula below, where "workdays" is a reference to the range of work day values and "complete" is a reference to the %complete for each of the subtasks.</t>
  </si>
  <si>
    <t>=SUMPRODUCT(workdays,complete)/SUM(workdays)</t>
  </si>
  <si>
    <t>Example: Let's say you have 3 sub tasks that are 10 days, 12 days, and 14 days long, respectively. If the first subtask is 50% complete and the others are 25% complete, you could calculate the overall percent complete for the group as: =(10*50%+12*25%+14*25%)/(10+12+14).</t>
  </si>
  <si>
    <t>I've messed up the chart area somehow. How do I fix it?</t>
  </si>
  <si>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</si>
  <si>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</si>
  <si>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</si>
  <si>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</si>
  <si>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</si>
  <si>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t>You may download the spreadsheet template, make archival copies, and customize the template only for your personal use or use within your company or organization and not for resale or public sharing.</t>
  </si>
  <si>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</si>
  <si>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</si>
  <si>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t>Limited Private Sharing and Other Allowed Uses: See the complete license agreement to learn more about how you may or may not use this template.</t>
  </si>
  <si>
    <t>View the Complete License Agreement</t>
  </si>
  <si>
    <t>https://www.vertex42.com/licensing/EULA_privateuse.html</t>
  </si>
  <si>
    <t>Análisis Proyectos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</si>
</sst>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numFmt numFmtId="165" formatCode="ddd\ m/dd/yy"/>
    <numFmt numFmtId="166" formatCode="d\ mmm\ yyyy"/>
    <numFmt numFmtId="167" formatCode="m/d/yyyy\ \(dddd\)"/>
  </numFmts>
  <fonts count="46"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14"/>
      <color indexed="56"/>
      <name val="Arial"/>
      <family val="2"/>
    </font>
    <font>
      <sz val="9"/>
      <name val="Arial"/>
      <family val="2"/>
    </font>
    <font>
      <sz val="7"/>
      <color indexed="55"/>
      <name val="Arial"/>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sz val="11"/>
      <color rgb="FF000000"/>
      <name val="Arial"/>
      <family val="2"/>
    </font>
    <font>
      <b/>
      <sz val="11"/>
      <color theme="4" tint="-0.249977111117893"/>
      <name val="Arial"/>
      <family val="2"/>
    </font>
    <font>
      <sz val="11"/>
      <color theme="4" tint="-0.249977111117893"/>
      <name val="Arial"/>
      <family val="2"/>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17">
    <border>
      <left/>
      <right/>
      <top/>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style="thin">
        <color theme="0" tint="-0.24994659260841701"/>
      </right>
      <top/>
      <bottom/>
      <diagonal/>
    </border>
  </borders>
  <cellStyleXfs count="3">
    <xf numFmtId="0" fontId="0" fillId="0" borderId="0"/>
    <xf numFmtId="0" fontId="2" fillId="0" borderId="0">
      <alignment vertical="top"/>
      <protection locked="0"/>
    </xf>
    <xf numFmtId="9" fontId="6" fillId="0" borderId="0"/>
  </cellStyleXfs>
  <cellXfs count="143">
    <xf numFmtId="0" fontId="0" fillId="0" borderId="0" xfId="0"/>
    <xf numFmtId="0" fontId="0" fillId="2" borderId="0" xfId="0" applyFill="1"/>
    <xf numFmtId="0" fontId="3" fillId="0" borderId="0" xfId="0" applyFont="1" applyAlignment="1">
      <alignment horizontal="right"/>
    </xf>
    <xf numFmtId="0" fontId="1" fillId="0" borderId="0" xfId="0" applyFont="1" applyAlignment="1">
      <alignment horizontal="left" wrapText="1" indent="1"/>
    </xf>
    <xf numFmtId="0" fontId="1" fillId="0" borderId="5" xfId="0" applyFont="1" applyBorder="1"/>
    <xf numFmtId="0" fontId="0" fillId="0" borderId="5" xfId="0" applyBorder="1"/>
    <xf numFmtId="0" fontId="11" fillId="0" borderId="5" xfId="0" applyFont="1" applyBorder="1" applyAlignment="1">
      <alignment horizontal="left" wrapText="1"/>
    </xf>
    <xf numFmtId="0" fontId="5" fillId="0" borderId="5" xfId="0" applyFont="1" applyBorder="1" applyAlignment="1">
      <alignment horizontal="left" wrapText="1"/>
    </xf>
    <xf numFmtId="0" fontId="11" fillId="0" borderId="5" xfId="0" applyFont="1" applyBorder="1" applyAlignment="1">
      <alignment horizontal="left"/>
    </xf>
    <xf numFmtId="0" fontId="3" fillId="0" borderId="0" xfId="0" applyFont="1" applyAlignment="1">
      <alignment wrapText="1"/>
    </xf>
    <xf numFmtId="0" fontId="9" fillId="0" borderId="0" xfId="0" applyFont="1" applyProtection="1">
      <protection locked="0"/>
    </xf>
    <xf numFmtId="0" fontId="7" fillId="0" borderId="0" xfId="0" applyFont="1"/>
    <xf numFmtId="0" fontId="16" fillId="0" borderId="0" xfId="1" applyFont="1" applyAlignment="1" applyProtection="1"/>
    <xf numFmtId="0" fontId="17" fillId="0" borderId="0" xfId="0" applyFont="1"/>
    <xf numFmtId="0" fontId="18" fillId="0" borderId="0" xfId="0" applyFont="1"/>
    <xf numFmtId="0" fontId="3" fillId="0" borderId="0" xfId="0" applyFont="1" applyAlignment="1">
      <alignment horizontal="left" vertical="center"/>
    </xf>
    <xf numFmtId="0" fontId="2" fillId="0" borderId="0" xfId="1" applyAlignment="1" applyProtection="1">
      <alignment horizontal="left"/>
    </xf>
    <xf numFmtId="0" fontId="0" fillId="0" borderId="0" xfId="0" applyProtection="1">
      <protection locked="0"/>
    </xf>
    <xf numFmtId="0" fontId="4" fillId="2" borderId="0" xfId="1" applyFont="1" applyFill="1" applyAlignment="1" applyProtection="1">
      <alignment horizontal="right"/>
      <protection locked="0"/>
    </xf>
    <xf numFmtId="0" fontId="14" fillId="0" borderId="0" xfId="0" applyFont="1" applyAlignment="1">
      <alignment vertical="center"/>
    </xf>
    <xf numFmtId="0" fontId="11" fillId="0" borderId="6" xfId="0" applyFont="1" applyBorder="1" applyAlignment="1">
      <alignment horizontal="left" wrapText="1"/>
    </xf>
    <xf numFmtId="0" fontId="12" fillId="0" borderId="5" xfId="1" applyFont="1" applyBorder="1" applyAlignment="1" applyProtection="1">
      <alignment horizontal="left" wrapText="1"/>
    </xf>
    <xf numFmtId="0" fontId="19" fillId="0" borderId="6" xfId="1" applyFont="1" applyBorder="1" applyAlignment="1" applyProtection="1">
      <alignment wrapText="1"/>
    </xf>
    <xf numFmtId="0" fontId="15" fillId="0" borderId="0" xfId="0" applyFont="1"/>
    <xf numFmtId="0" fontId="14" fillId="0" borderId="0" xfId="0" applyFont="1" applyAlignment="1">
      <alignment horizontal="left" vertical="center"/>
    </xf>
    <xf numFmtId="0" fontId="13" fillId="0" borderId="0" xfId="0" applyFont="1" applyAlignment="1">
      <alignment horizontal="left" vertical="center"/>
    </xf>
    <xf numFmtId="0" fontId="1" fillId="0" borderId="6" xfId="0" applyFont="1" applyBorder="1"/>
    <xf numFmtId="0" fontId="0" fillId="0" borderId="6" xfId="0" applyBorder="1"/>
    <xf numFmtId="0" fontId="0" fillId="0" borderId="0" xfId="0"/>
    <xf numFmtId="0" fontId="11" fillId="0" borderId="0" xfId="0" applyFont="1" applyAlignment="1">
      <alignment horizontal="left" wrapText="1"/>
    </xf>
    <xf numFmtId="0" fontId="8" fillId="0" borderId="0" xfId="0" applyFont="1" applyAlignment="1" applyProtection="1">
      <alignment vertical="center"/>
      <protection locked="0"/>
    </xf>
    <xf numFmtId="0" fontId="21" fillId="0" borderId="0" xfId="0" applyFont="1"/>
    <xf numFmtId="0" fontId="22" fillId="0" borderId="0" xfId="0" applyFont="1" applyAlignment="1" applyProtection="1">
      <alignment vertical="center"/>
      <protection locked="0"/>
    </xf>
    <xf numFmtId="0" fontId="24" fillId="6" borderId="1" xfId="0" applyFont="1" applyFill="1" applyBorder="1" applyAlignment="1">
      <alignment horizontal="left" vertical="center"/>
    </xf>
    <xf numFmtId="0" fontId="24" fillId="6" borderId="1" xfId="0" applyFont="1" applyFill="1" applyBorder="1" applyAlignment="1">
      <alignment vertical="center"/>
    </xf>
    <xf numFmtId="0" fontId="20" fillId="6" borderId="1" xfId="0" applyFont="1" applyFill="1" applyBorder="1" applyAlignment="1">
      <alignment vertical="center"/>
    </xf>
    <xf numFmtId="0" fontId="20" fillId="6" borderId="1" xfId="0" applyFont="1" applyFill="1" applyBorder="1" applyAlignment="1">
      <alignment horizontal="center" vertical="center"/>
    </xf>
    <xf numFmtId="1" fontId="20" fillId="6" borderId="1" xfId="2" applyNumberFormat="1" applyFont="1" applyFill="1" applyBorder="1" applyAlignment="1">
      <alignment horizontal="center" vertical="center"/>
    </xf>
    <xf numFmtId="9" fontId="20" fillId="6" borderId="1" xfId="2" applyFont="1" applyFill="1" applyBorder="1" applyAlignment="1">
      <alignment horizontal="center" vertical="center"/>
    </xf>
    <xf numFmtId="1" fontId="20" fillId="6" borderId="1" xfId="0" applyNumberFormat="1" applyFont="1" applyFill="1" applyBorder="1" applyAlignment="1">
      <alignment horizontal="center" vertical="center"/>
    </xf>
    <xf numFmtId="0" fontId="20" fillId="0" borderId="1" xfId="0" applyFont="1" applyBorder="1" applyAlignment="1">
      <alignment vertical="center"/>
    </xf>
    <xf numFmtId="1" fontId="25" fillId="8" borderId="3" xfId="0" applyNumberFormat="1" applyFont="1" applyFill="1" applyBorder="1" applyAlignment="1">
      <alignment horizontal="center" vertical="center"/>
    </xf>
    <xf numFmtId="9" fontId="25" fillId="8" borderId="3" xfId="2" applyFont="1" applyFill="1" applyBorder="1" applyAlignment="1">
      <alignment horizontal="center" vertical="center"/>
    </xf>
    <xf numFmtId="0" fontId="26" fillId="0" borderId="1" xfId="0" applyFont="1" applyBorder="1" applyAlignment="1">
      <alignment vertical="center"/>
    </xf>
    <xf numFmtId="0" fontId="20" fillId="0" borderId="1" xfId="0" applyFont="1" applyBorder="1" applyAlignment="1">
      <alignment horizontal="center" vertical="center"/>
    </xf>
    <xf numFmtId="1" fontId="20" fillId="0" borderId="1" xfId="2" applyNumberFormat="1" applyFont="1" applyBorder="1" applyAlignment="1">
      <alignment horizontal="center" vertical="center"/>
    </xf>
    <xf numFmtId="9" fontId="20" fillId="0" borderId="1" xfId="2" applyFont="1" applyBorder="1" applyAlignment="1">
      <alignment horizontal="center" vertical="center"/>
    </xf>
    <xf numFmtId="1" fontId="20" fillId="0" borderId="1" xfId="0" applyNumberFormat="1" applyFont="1" applyBorder="1" applyAlignment="1">
      <alignment horizontal="center" vertical="center"/>
    </xf>
    <xf numFmtId="0" fontId="20" fillId="0" borderId="0" xfId="0" applyFont="1" applyAlignment="1">
      <alignment vertical="center"/>
    </xf>
    <xf numFmtId="0" fontId="27" fillId="5" borderId="0" xfId="0" applyFont="1" applyFill="1" applyAlignment="1">
      <alignment vertical="center"/>
    </xf>
    <xf numFmtId="0" fontId="23" fillId="6" borderId="0" xfId="0" applyFont="1" applyFill="1" applyAlignment="1">
      <alignment vertical="center"/>
    </xf>
    <xf numFmtId="0" fontId="28" fillId="5" borderId="0" xfId="0" applyFont="1" applyFill="1" applyAlignment="1">
      <alignment vertical="center"/>
    </xf>
    <xf numFmtId="0" fontId="29" fillId="6" borderId="0" xfId="0" applyFont="1" applyFill="1" applyAlignment="1">
      <alignment vertical="center"/>
    </xf>
    <xf numFmtId="0" fontId="29" fillId="0" borderId="0" xfId="0" applyFont="1" applyAlignment="1">
      <alignment vertical="center"/>
    </xf>
    <xf numFmtId="0" fontId="25" fillId="5" borderId="0" xfId="0" applyFont="1" applyFill="1" applyAlignment="1">
      <alignment vertical="center"/>
    </xf>
    <xf numFmtId="0" fontId="20" fillId="6" borderId="0" xfId="0" applyFont="1" applyFill="1" applyAlignment="1">
      <alignment vertical="center"/>
    </xf>
    <xf numFmtId="0" fontId="25" fillId="4" borderId="2" xfId="0" applyFont="1" applyFill="1" applyBorder="1" applyAlignment="1">
      <alignment vertical="center"/>
    </xf>
    <xf numFmtId="0" fontId="25" fillId="0" borderId="3" xfId="0" quotePrefix="1" applyFont="1" applyBorder="1" applyAlignment="1">
      <alignment horizontal="center" vertical="center"/>
    </xf>
    <xf numFmtId="1" fontId="25" fillId="0" borderId="3" xfId="0" applyNumberFormat="1" applyFont="1" applyBorder="1" applyAlignment="1">
      <alignment horizontal="center" vertical="center"/>
    </xf>
    <xf numFmtId="0" fontId="25" fillId="0" borderId="3" xfId="0" applyFont="1" applyBorder="1" applyAlignment="1">
      <alignment vertical="center"/>
    </xf>
    <xf numFmtId="0" fontId="25" fillId="0" borderId="3" xfId="0" applyFont="1" applyBorder="1" applyAlignment="1">
      <alignment horizontal="left" vertical="center"/>
    </xf>
    <xf numFmtId="0" fontId="24" fillId="6" borderId="7" xfId="0" applyFont="1" applyFill="1" applyBorder="1" applyAlignment="1">
      <alignment horizontal="left" vertical="center"/>
    </xf>
    <xf numFmtId="0" fontId="24" fillId="6" borderId="7" xfId="0" applyFont="1" applyFill="1" applyBorder="1" applyAlignment="1">
      <alignment vertical="center"/>
    </xf>
    <xf numFmtId="0" fontId="20" fillId="6" borderId="7" xfId="0" applyFont="1" applyFill="1" applyBorder="1" applyAlignment="1">
      <alignment vertical="center"/>
    </xf>
    <xf numFmtId="0" fontId="20" fillId="6" borderId="7" xfId="0" applyFont="1" applyFill="1" applyBorder="1" applyAlignment="1">
      <alignment horizontal="center" vertical="center"/>
    </xf>
    <xf numFmtId="165" fontId="20" fillId="6" borderId="7" xfId="0" applyNumberFormat="1" applyFont="1" applyFill="1" applyBorder="1" applyAlignment="1">
      <alignment horizontal="right" vertical="center"/>
    </xf>
    <xf numFmtId="1" fontId="20" fillId="6" borderId="7" xfId="2" applyNumberFormat="1" applyFont="1" applyFill="1" applyBorder="1" applyAlignment="1">
      <alignment horizontal="center" vertical="center"/>
    </xf>
    <xf numFmtId="9" fontId="20" fillId="6" borderId="7" xfId="2" applyFont="1" applyFill="1" applyBorder="1" applyAlignment="1">
      <alignment horizontal="center" vertical="center"/>
    </xf>
    <xf numFmtId="1" fontId="20" fillId="6" borderId="7" xfId="0" applyNumberFormat="1" applyFont="1" applyFill="1" applyBorder="1" applyAlignment="1">
      <alignment horizontal="center" vertical="center"/>
    </xf>
    <xf numFmtId="1" fontId="31" fillId="6" borderId="7" xfId="0" applyNumberFormat="1" applyFont="1" applyFill="1" applyBorder="1" applyAlignment="1">
      <alignment horizontal="center" vertical="center"/>
    </xf>
    <xf numFmtId="1" fontId="31" fillId="6" borderId="1" xfId="0" applyNumberFormat="1" applyFont="1" applyFill="1" applyBorder="1" applyAlignment="1">
      <alignment horizontal="center" vertical="center"/>
    </xf>
    <xf numFmtId="1" fontId="31" fillId="0" borderId="1" xfId="0" applyNumberFormat="1" applyFont="1" applyBorder="1" applyAlignment="1">
      <alignment horizontal="center" vertical="center"/>
    </xf>
    <xf numFmtId="0" fontId="31" fillId="6" borderId="0" xfId="0" applyFont="1" applyFill="1" applyAlignment="1">
      <alignment vertical="center"/>
    </xf>
    <xf numFmtId="1" fontId="32" fillId="0" borderId="3" xfId="0" applyNumberFormat="1" applyFont="1" applyBorder="1" applyAlignment="1">
      <alignment horizontal="center" vertical="center"/>
    </xf>
    <xf numFmtId="165" fontId="25" fillId="7" borderId="3" xfId="0" applyNumberFormat="1" applyFont="1" applyFill="1" applyBorder="1" applyAlignment="1">
      <alignment horizontal="center" vertical="center"/>
    </xf>
    <xf numFmtId="165" fontId="25" fillId="0" borderId="3" xfId="0" applyNumberFormat="1" applyFont="1" applyBorder="1" applyAlignment="1">
      <alignment horizontal="center" vertical="center"/>
    </xf>
    <xf numFmtId="165" fontId="20" fillId="6" borderId="1" xfId="0" applyNumberFormat="1" applyFont="1" applyFill="1" applyBorder="1" applyAlignment="1">
      <alignment horizontal="center" vertical="center"/>
    </xf>
    <xf numFmtId="0" fontId="26" fillId="0" borderId="1" xfId="0" applyFont="1" applyBorder="1" applyAlignment="1">
      <alignment horizontal="center" vertical="center"/>
    </xf>
    <xf numFmtId="0" fontId="28" fillId="5" borderId="0" xfId="0" applyFont="1" applyFill="1" applyAlignment="1">
      <alignment horizontal="center" vertical="center"/>
    </xf>
    <xf numFmtId="0" fontId="20" fillId="6" borderId="0" xfId="0" applyFont="1" applyFill="1" applyAlignment="1">
      <alignment horizontal="center" vertical="center"/>
    </xf>
    <xf numFmtId="0" fontId="20" fillId="6" borderId="7" xfId="0" applyFont="1" applyFill="1" applyBorder="1" applyAlignment="1">
      <alignment horizontal="left" vertical="center"/>
    </xf>
    <xf numFmtId="0" fontId="20" fillId="0" borderId="1" xfId="0" applyFont="1" applyBorder="1" applyAlignment="1">
      <alignment horizontal="left" vertical="center"/>
    </xf>
    <xf numFmtId="9" fontId="20" fillId="0" borderId="1" xfId="0" applyNumberFormat="1" applyFont="1" applyBorder="1" applyAlignment="1">
      <alignment horizontal="left" vertical="center"/>
    </xf>
    <xf numFmtId="0" fontId="20" fillId="6" borderId="1" xfId="0" applyFont="1" applyFill="1" applyBorder="1" applyAlignment="1">
      <alignment horizontal="left" vertical="center"/>
    </xf>
    <xf numFmtId="0" fontId="33" fillId="0" borderId="0" xfId="0" applyFont="1"/>
    <xf numFmtId="0" fontId="33" fillId="0" borderId="0" xfId="0" applyFont="1" applyAlignment="1">
      <alignment horizontal="right" vertical="center"/>
    </xf>
    <xf numFmtId="165" fontId="20" fillId="6" borderId="7" xfId="0" applyNumberFormat="1" applyFont="1" applyFill="1" applyBorder="1" applyAlignment="1">
      <alignment horizontal="center" vertical="center"/>
    </xf>
    <xf numFmtId="0" fontId="34" fillId="0" borderId="11" xfId="0" applyFont="1" applyBorder="1" applyAlignment="1">
      <alignment horizontal="left" vertical="center"/>
    </xf>
    <xf numFmtId="0" fontId="34" fillId="0" borderId="11" xfId="0" applyFont="1" applyBorder="1" applyAlignment="1">
      <alignment horizontal="center" vertical="center" wrapText="1"/>
    </xf>
    <xf numFmtId="0" fontId="35" fillId="0" borderId="11" xfId="0" applyFont="1" applyBorder="1" applyAlignment="1">
      <alignment horizontal="center" vertical="center" wrapText="1"/>
    </xf>
    <xf numFmtId="0" fontId="34" fillId="0" borderId="11" xfId="0" applyFont="1" applyBorder="1" applyAlignment="1">
      <alignment horizontal="center" vertical="center"/>
    </xf>
    <xf numFmtId="0" fontId="20" fillId="0" borderId="12" xfId="0" applyFont="1" applyBorder="1" applyAlignment="1">
      <alignment horizontal="center" vertical="center" shrinkToFit="1"/>
    </xf>
    <xf numFmtId="0" fontId="20" fillId="0" borderId="13" xfId="0" applyFont="1" applyBorder="1" applyAlignment="1">
      <alignment horizontal="center" vertical="center" shrinkToFit="1"/>
    </xf>
    <xf numFmtId="0" fontId="20" fillId="0" borderId="14" xfId="0" applyFont="1" applyBorder="1" applyAlignment="1">
      <alignment horizontal="center" vertical="center" shrinkToFit="1"/>
    </xf>
    <xf numFmtId="0" fontId="1" fillId="0" borderId="0" xfId="0" applyFont="1"/>
    <xf numFmtId="0" fontId="36" fillId="0" borderId="0" xfId="0" applyFont="1" applyAlignment="1" applyProtection="1">
      <alignment vertical="center"/>
      <protection locked="0"/>
    </xf>
    <xf numFmtId="0" fontId="20" fillId="0" borderId="1" xfId="0" applyFont="1" applyBorder="1" applyAlignment="1">
      <alignment vertical="center" wrapText="1"/>
    </xf>
    <xf numFmtId="0" fontId="25" fillId="0" borderId="3" xfId="0" applyFont="1" applyBorder="1" applyAlignment="1">
      <alignment horizontal="center" vertical="center"/>
    </xf>
    <xf numFmtId="0" fontId="20" fillId="0" borderId="1" xfId="0" applyFont="1" applyBorder="1" applyAlignment="1">
      <alignment horizontal="left" vertical="center" wrapText="1" indent="1"/>
    </xf>
    <xf numFmtId="0" fontId="23" fillId="0" borderId="15" xfId="0" applyFont="1" applyBorder="1" applyAlignment="1" applyProtection="1">
      <alignment horizontal="center" vertical="center"/>
      <protection locked="0"/>
    </xf>
    <xf numFmtId="0" fontId="24" fillId="0" borderId="1" xfId="0" applyFont="1" applyBorder="1" applyAlignment="1">
      <alignment horizontal="left" vertical="center"/>
    </xf>
    <xf numFmtId="0" fontId="37" fillId="4" borderId="2" xfId="0" applyFont="1" applyFill="1" applyBorder="1" applyAlignment="1">
      <alignment vertical="center"/>
    </xf>
    <xf numFmtId="0" fontId="1" fillId="0" borderId="0" xfId="0" applyFont="1" applyAlignment="1">
      <alignment horizontal="right" vertical="center"/>
    </xf>
    <xf numFmtId="0" fontId="39" fillId="0" borderId="0" xfId="0" applyFont="1"/>
    <xf numFmtId="0" fontId="1" fillId="0" borderId="0" xfId="0" applyFont="1" applyAlignment="1">
      <alignment vertical="center"/>
    </xf>
    <xf numFmtId="0" fontId="1" fillId="8" borderId="0" xfId="0" applyFont="1" applyFill="1" applyAlignment="1">
      <alignment horizontal="center" vertical="center"/>
    </xf>
    <xf numFmtId="0" fontId="1" fillId="3" borderId="0" xfId="0" applyFont="1" applyFill="1" applyAlignment="1">
      <alignment horizontal="center" vertical="center"/>
    </xf>
    <xf numFmtId="0" fontId="40" fillId="0" borderId="0" xfId="0" applyFont="1" applyAlignment="1">
      <alignment wrapText="1"/>
    </xf>
    <xf numFmtId="0" fontId="19" fillId="0" borderId="0" xfId="1" applyFont="1" applyAlignment="1" applyProtection="1"/>
    <xf numFmtId="0" fontId="40" fillId="0" borderId="0" xfId="0" applyFont="1" applyAlignment="1">
      <alignment horizontal="left" wrapText="1"/>
    </xf>
    <xf numFmtId="0" fontId="40" fillId="0" borderId="0" xfId="0" applyFont="1" applyAlignment="1">
      <alignment vertical="center" wrapText="1"/>
    </xf>
    <xf numFmtId="0" fontId="41" fillId="0" borderId="0" xfId="0" applyFont="1" applyAlignment="1">
      <alignment vertical="center"/>
    </xf>
    <xf numFmtId="0" fontId="42" fillId="0" borderId="0" xfId="0" applyFont="1" applyAlignment="1">
      <alignment vertical="center" wrapText="1"/>
    </xf>
    <xf numFmtId="0" fontId="41" fillId="0" borderId="0" xfId="0" applyFont="1"/>
    <xf numFmtId="0" fontId="19" fillId="0" borderId="0" xfId="1" applyFont="1" applyAlignment="1" applyProtection="1">
      <alignment vertical="center"/>
    </xf>
    <xf numFmtId="0" fontId="43" fillId="0" borderId="0" xfId="0" applyFont="1" applyAlignment="1">
      <alignment horizontal="right"/>
    </xf>
    <xf numFmtId="0" fontId="40" fillId="0" borderId="0" xfId="0" applyFont="1"/>
    <xf numFmtId="0" fontId="40" fillId="0" borderId="0" xfId="0" applyFont="1" applyAlignment="1">
      <alignment horizontal="left" indent="1"/>
    </xf>
    <xf numFmtId="0" fontId="40" fillId="0" borderId="0" xfId="0" quotePrefix="1" applyFont="1" applyAlignment="1">
      <alignment horizontal="left" wrapText="1" indent="1"/>
    </xf>
    <xf numFmtId="0" fontId="18" fillId="0" borderId="0" xfId="0" quotePrefix="1" applyFont="1" applyAlignment="1">
      <alignment horizontal="left" indent="1"/>
    </xf>
    <xf numFmtId="0" fontId="43" fillId="0" borderId="0" xfId="0" applyFont="1" applyAlignment="1">
      <alignment horizontal="left" wrapText="1"/>
    </xf>
    <xf numFmtId="0" fontId="40" fillId="0" borderId="0" xfId="0" applyFont="1" applyAlignment="1">
      <alignment horizontal="left" vertical="center" wrapText="1"/>
    </xf>
    <xf numFmtId="0" fontId="44" fillId="0" borderId="0" xfId="0" applyFont="1" applyAlignment="1">
      <alignment horizontal="right"/>
    </xf>
    <xf numFmtId="0" fontId="45" fillId="0" borderId="0" xfId="0" applyFont="1" applyAlignment="1">
      <alignment vertical="center" wrapText="1"/>
    </xf>
    <xf numFmtId="0" fontId="40" fillId="0" borderId="0" xfId="0" quotePrefix="1" applyFont="1" applyAlignment="1">
      <alignment wrapText="1"/>
    </xf>
    <xf numFmtId="0" fontId="10" fillId="0" borderId="0" xfId="0" applyFont="1" applyProtection="1">
      <protection locked="0"/>
    </xf>
    <xf numFmtId="0" fontId="45" fillId="0" borderId="0" xfId="0" applyFont="1"/>
    <xf numFmtId="0" fontId="44" fillId="0" borderId="0" xfId="0" applyFont="1"/>
    <xf numFmtId="0" fontId="2" fillId="0" borderId="0" xfId="1" applyAlignment="1" applyProtection="1"/>
    <xf numFmtId="164" fontId="3" fillId="0" borderId="9" xfId="0" applyNumberFormat="1" applyFont="1" applyBorder="1" applyAlignment="1">
      <alignment horizontal="center" vertical="center" shrinkToFit="1"/>
    </xf>
    <xf numFmtId="164" fontId="3" fillId="0" borderId="4" xfId="0" applyNumberFormat="1" applyFont="1" applyBorder="1" applyAlignment="1">
      <alignment horizontal="center" vertical="center" shrinkToFit="1"/>
    </xf>
    <xf numFmtId="164" fontId="3" fillId="0" borderId="10" xfId="0" applyNumberFormat="1" applyFont="1" applyBorder="1" applyAlignment="1">
      <alignment horizontal="center" vertical="center" shrinkToFit="1"/>
    </xf>
    <xf numFmtId="167" fontId="23" fillId="0" borderId="8" xfId="0" applyNumberFormat="1" applyFont="1" applyBorder="1" applyAlignment="1" applyProtection="1">
      <alignment horizontal="center" vertical="center" shrinkToFit="1"/>
      <protection locked="0"/>
    </xf>
    <xf numFmtId="0" fontId="0" fillId="0" borderId="8" xfId="0" applyBorder="1" applyProtection="1">
      <protection locked="0"/>
    </xf>
    <xf numFmtId="166" fontId="23" fillId="0" borderId="9" xfId="0" applyNumberFormat="1" applyFont="1" applyBorder="1" applyAlignment="1">
      <alignment horizontal="center" vertical="center"/>
    </xf>
    <xf numFmtId="0" fontId="0" fillId="0" borderId="0" xfId="0"/>
    <xf numFmtId="0" fontId="0" fillId="0" borderId="16" xfId="0" applyBorder="1"/>
    <xf numFmtId="0" fontId="30" fillId="0" borderId="9" xfId="0" applyFont="1" applyBorder="1" applyAlignment="1">
      <alignment horizontal="center" vertical="center"/>
    </xf>
    <xf numFmtId="167" fontId="23" fillId="0" borderId="15" xfId="0" applyNumberFormat="1" applyFont="1" applyBorder="1" applyAlignment="1" applyProtection="1">
      <alignment horizontal="center" vertical="center" shrinkToFit="1"/>
      <protection locked="0"/>
    </xf>
    <xf numFmtId="0" fontId="0" fillId="0" borderId="15" xfId="0" applyBorder="1" applyProtection="1">
      <protection locked="0"/>
    </xf>
    <xf numFmtId="0" fontId="38" fillId="0" borderId="0" xfId="1" applyFont="1" applyAlignment="1" applyProtection="1">
      <alignment horizontal="left" vertical="center"/>
    </xf>
    <xf numFmtId="0" fontId="39" fillId="0" borderId="0" xfId="0" applyFont="1" applyAlignment="1">
      <alignment horizontal="left"/>
    </xf>
    <xf numFmtId="0" fontId="1" fillId="0" borderId="0" xfId="0" applyFont="1"/>
  </cellXfs>
  <cellStyles count="3">
    <cellStyle name="Hipervínculo" xfId="1" builtinId="8"/>
    <cellStyle name="Normal" xfId="0" builtinId="0"/>
    <cellStyle name="Porcentaje" xfId="2" builtinId="5"/>
  </cellStyles>
  <dxfs count="8">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3396" y="548640"/>
          <a:ext cx="2019299" cy="1754505"/>
        </a:xfrm>
        <a:prstGeom prst="rect">
          <a:avLst/>
        </a:prstGeom>
        <a:noFill/>
        <a:ln>
          <a:noFill/>
          <a:prstDash val="solid"/>
        </a:ln>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5021580" y="0"/>
          <a:ext cx="1476375" cy="34099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4867275" y="1"/>
          <a:ext cx="1504950" cy="338614"/>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4143374" y="1"/>
          <a:ext cx="1609725" cy="362188"/>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vertex42.com/ExcelTemplates/excel-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ExcelTemplates/excel-gantt-chart.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CB44"/>
  <sheetViews>
    <sheetView showGridLines="0" tabSelected="1" zoomScaleNormal="100" workbookViewId="0">
      <pane ySplit="7" topLeftCell="A14" activePane="bottomLeft" state="frozen"/>
      <selection pane="bottomLeft" activeCell="B14" sqref="B14"/>
    </sheetView>
  </sheetViews>
  <sheetFormatPr baseColWidth="10" defaultColWidth="9.109375" defaultRowHeight="13.2" x14ac:dyDescent="0.25"/>
  <cols>
    <col min="1" max="1" width="6.88671875" style="28" customWidth="1"/>
    <col min="2" max="2" width="19" style="28" customWidth="1"/>
    <col min="3" max="3" width="7.6640625" style="28" customWidth="1"/>
    <col min="4" max="4" width="6.88671875" style="28" hidden="1" customWidth="1"/>
    <col min="5" max="6" width="12" style="28" customWidth="1"/>
    <col min="7" max="7" width="6" style="28" customWidth="1"/>
    <col min="8" max="8" width="6.6640625" style="28" customWidth="1"/>
    <col min="9" max="9" width="6.44140625" style="28" customWidth="1"/>
    <col min="10" max="10" width="1.88671875" style="28" customWidth="1"/>
    <col min="11" max="66" width="2.44140625" style="28" customWidth="1"/>
    <col min="67" max="71" width="2.6640625" style="28" bestFit="1" customWidth="1"/>
    <col min="72" max="73" width="2.109375" style="28" bestFit="1" customWidth="1"/>
    <col min="74" max="74" width="2.33203125" style="28" bestFit="1" customWidth="1"/>
    <col min="75" max="75" width="2" style="28" bestFit="1" customWidth="1"/>
    <col min="76" max="76" width="2.5546875" style="28" bestFit="1" customWidth="1"/>
    <col min="77" max="78" width="2" style="28" bestFit="1" customWidth="1"/>
    <col min="79" max="80" width="2.109375" style="28" bestFit="1" customWidth="1"/>
    <col min="81" max="81" width="9.109375" style="28" customWidth="1"/>
    <col min="82" max="16384" width="9.109375" style="28"/>
  </cols>
  <sheetData>
    <row r="1" spans="1:80" ht="30" customHeight="1" x14ac:dyDescent="0.25">
      <c r="A1" s="95" t="s">
        <v>0</v>
      </c>
      <c r="B1" s="30"/>
      <c r="C1" s="30"/>
      <c r="D1" s="30"/>
      <c r="E1" s="30"/>
      <c r="F1" s="30"/>
      <c r="I1" s="102"/>
      <c r="K1" s="140" t="s">
        <v>1</v>
      </c>
      <c r="L1" s="135"/>
      <c r="M1" s="135"/>
      <c r="N1" s="135"/>
      <c r="O1" s="135"/>
      <c r="P1" s="135"/>
      <c r="Q1" s="135"/>
      <c r="R1" s="135"/>
      <c r="S1" s="135"/>
      <c r="T1" s="135"/>
      <c r="U1" s="135"/>
      <c r="V1" s="135"/>
      <c r="W1" s="135"/>
      <c r="X1" s="135"/>
      <c r="Y1" s="135"/>
      <c r="Z1" s="135"/>
      <c r="AA1" s="135"/>
      <c r="AB1" s="135"/>
      <c r="AC1" s="135"/>
      <c r="AD1" s="135"/>
      <c r="AE1" s="135"/>
    </row>
    <row r="2" spans="1:80" ht="18" customHeight="1" x14ac:dyDescent="0.25">
      <c r="A2" s="32" t="s">
        <v>2</v>
      </c>
      <c r="B2" s="10"/>
      <c r="C2" s="10"/>
      <c r="D2" s="18"/>
      <c r="E2" s="125"/>
      <c r="F2" s="125"/>
      <c r="H2" s="1"/>
    </row>
    <row r="3" spans="1:80" ht="13.8" customHeight="1" x14ac:dyDescent="0.25">
      <c r="A3" s="32"/>
      <c r="B3" s="94"/>
      <c r="H3" s="1"/>
      <c r="K3" s="16"/>
      <c r="L3" s="16"/>
      <c r="M3" s="16"/>
      <c r="N3" s="16"/>
      <c r="O3" s="16"/>
      <c r="P3" s="16"/>
      <c r="Q3" s="16"/>
      <c r="R3" s="16"/>
      <c r="S3" s="16"/>
      <c r="T3" s="16"/>
      <c r="U3" s="16"/>
      <c r="V3" s="16"/>
      <c r="W3" s="16"/>
      <c r="X3" s="16"/>
      <c r="Y3" s="16"/>
      <c r="Z3" s="16"/>
      <c r="AA3" s="16"/>
    </row>
    <row r="4" spans="1:80" ht="17.25" customHeight="1" x14ac:dyDescent="0.25">
      <c r="A4" s="84"/>
      <c r="B4" s="85" t="s">
        <v>3</v>
      </c>
      <c r="C4" s="138">
        <v>46132</v>
      </c>
      <c r="D4" s="139"/>
      <c r="E4" s="139"/>
      <c r="F4" s="84"/>
      <c r="G4" s="85" t="s">
        <v>4</v>
      </c>
      <c r="H4" s="99">
        <v>1</v>
      </c>
      <c r="I4" s="94"/>
      <c r="J4" s="31"/>
      <c r="K4" s="137" t="str">
        <f>"Week "&amp;(K6-($C$4-WEEKDAY($C$4,1)+2))/7+1</f>
        <v>Week 1</v>
      </c>
      <c r="L4" s="135"/>
      <c r="M4" s="135"/>
      <c r="N4" s="135"/>
      <c r="O4" s="135"/>
      <c r="P4" s="135"/>
      <c r="Q4" s="136"/>
      <c r="R4" s="137" t="str">
        <f>"Week "&amp;(R6-($C$4-WEEKDAY($C$4,1)+2))/7+1</f>
        <v>Week 2</v>
      </c>
      <c r="S4" s="135"/>
      <c r="T4" s="135"/>
      <c r="U4" s="135"/>
      <c r="V4" s="135"/>
      <c r="W4" s="135"/>
      <c r="X4" s="136"/>
      <c r="Y4" s="137" t="str">
        <f>"Week "&amp;(Y6-($C$4-WEEKDAY($C$4,1)+2))/7+1</f>
        <v>Week 3</v>
      </c>
      <c r="Z4" s="135"/>
      <c r="AA4" s="135"/>
      <c r="AB4" s="135"/>
      <c r="AC4" s="135"/>
      <c r="AD4" s="135"/>
      <c r="AE4" s="136"/>
      <c r="AF4" s="137" t="str">
        <f>"Week "&amp;(AF6-($C$4-WEEKDAY($C$4,1)+2))/7+1</f>
        <v>Week 4</v>
      </c>
      <c r="AG4" s="135"/>
      <c r="AH4" s="135"/>
      <c r="AI4" s="135"/>
      <c r="AJ4" s="135"/>
      <c r="AK4" s="135"/>
      <c r="AL4" s="136"/>
      <c r="AM4" s="137" t="str">
        <f>"Week "&amp;(AM6-($C$4-WEEKDAY($C$4,1)+2))/7+1</f>
        <v>Week 5</v>
      </c>
      <c r="AN4" s="135"/>
      <c r="AO4" s="135"/>
      <c r="AP4" s="135"/>
      <c r="AQ4" s="135"/>
      <c r="AR4" s="135"/>
      <c r="AS4" s="136"/>
      <c r="AT4" s="137" t="str">
        <f>"Week "&amp;(AT6-($C$4-WEEKDAY($C$4,1)+2))/7+1</f>
        <v>Week 6</v>
      </c>
      <c r="AU4" s="135"/>
      <c r="AV4" s="135"/>
      <c r="AW4" s="135"/>
      <c r="AX4" s="135"/>
      <c r="AY4" s="135"/>
      <c r="AZ4" s="136"/>
      <c r="BA4" s="137" t="str">
        <f>"Week "&amp;(BA6-($C$4-WEEKDAY($C$4,1)+2))/7+1</f>
        <v>Week 7</v>
      </c>
      <c r="BB4" s="135"/>
      <c r="BC4" s="135"/>
      <c r="BD4" s="135"/>
      <c r="BE4" s="135"/>
      <c r="BF4" s="135"/>
      <c r="BG4" s="136"/>
      <c r="BH4" s="137" t="str">
        <f>"Week "&amp;(BH6-($C$4-WEEKDAY($C$4,1)+2))/7+1</f>
        <v>Week 8</v>
      </c>
      <c r="BI4" s="135"/>
      <c r="BJ4" s="135"/>
      <c r="BK4" s="135"/>
      <c r="BL4" s="135"/>
      <c r="BM4" s="135"/>
      <c r="BN4" s="136"/>
      <c r="BO4" s="137" t="str">
        <f>"Week "&amp;(BO6-($C$4-WEEKDAY($C$4,1)+2))/7+1</f>
        <v>Week 9</v>
      </c>
      <c r="BP4" s="135"/>
      <c r="BQ4" s="135"/>
      <c r="BR4" s="135"/>
      <c r="BS4" s="135"/>
      <c r="BT4" s="135"/>
      <c r="BU4" s="136"/>
      <c r="BV4" s="137" t="str">
        <f>"Week "&amp;(BV6-($C$4-WEEKDAY($C$4,1)+2))/7+1</f>
        <v>Week 10</v>
      </c>
      <c r="BW4" s="135"/>
      <c r="BX4" s="135"/>
      <c r="BY4" s="135"/>
      <c r="BZ4" s="135"/>
      <c r="CA4" s="135"/>
      <c r="CB4" s="136"/>
    </row>
    <row r="5" spans="1:80" ht="17.25" customHeight="1" x14ac:dyDescent="0.25">
      <c r="A5" s="84"/>
      <c r="B5" s="85" t="s">
        <v>5</v>
      </c>
      <c r="C5" s="132"/>
      <c r="D5" s="133"/>
      <c r="E5" s="133"/>
      <c r="F5" s="84"/>
      <c r="G5" s="84"/>
      <c r="H5" s="84"/>
      <c r="I5" s="84"/>
      <c r="J5" s="31"/>
      <c r="K5" s="134">
        <f>K6</f>
        <v>46132</v>
      </c>
      <c r="L5" s="135"/>
      <c r="M5" s="135"/>
      <c r="N5" s="135"/>
      <c r="O5" s="135"/>
      <c r="P5" s="135"/>
      <c r="Q5" s="136"/>
      <c r="R5" s="134">
        <f>R6</f>
        <v>46139</v>
      </c>
      <c r="S5" s="135"/>
      <c r="T5" s="135"/>
      <c r="U5" s="135"/>
      <c r="V5" s="135"/>
      <c r="W5" s="135"/>
      <c r="X5" s="136"/>
      <c r="Y5" s="134">
        <f>Y6</f>
        <v>46146</v>
      </c>
      <c r="Z5" s="135"/>
      <c r="AA5" s="135"/>
      <c r="AB5" s="135"/>
      <c r="AC5" s="135"/>
      <c r="AD5" s="135"/>
      <c r="AE5" s="136"/>
      <c r="AF5" s="134">
        <f>AF6</f>
        <v>46153</v>
      </c>
      <c r="AG5" s="135"/>
      <c r="AH5" s="135"/>
      <c r="AI5" s="135"/>
      <c r="AJ5" s="135"/>
      <c r="AK5" s="135"/>
      <c r="AL5" s="136"/>
      <c r="AM5" s="134">
        <f>AM6</f>
        <v>46160</v>
      </c>
      <c r="AN5" s="135"/>
      <c r="AO5" s="135"/>
      <c r="AP5" s="135"/>
      <c r="AQ5" s="135"/>
      <c r="AR5" s="135"/>
      <c r="AS5" s="136"/>
      <c r="AT5" s="134">
        <f>AT6</f>
        <v>46167</v>
      </c>
      <c r="AU5" s="135"/>
      <c r="AV5" s="135"/>
      <c r="AW5" s="135"/>
      <c r="AX5" s="135"/>
      <c r="AY5" s="135"/>
      <c r="AZ5" s="136"/>
      <c r="BA5" s="134">
        <f>BA6</f>
        <v>46174</v>
      </c>
      <c r="BB5" s="135"/>
      <c r="BC5" s="135"/>
      <c r="BD5" s="135"/>
      <c r="BE5" s="135"/>
      <c r="BF5" s="135"/>
      <c r="BG5" s="136"/>
      <c r="BH5" s="134">
        <f>BH6</f>
        <v>46181</v>
      </c>
      <c r="BI5" s="135"/>
      <c r="BJ5" s="135"/>
      <c r="BK5" s="135"/>
      <c r="BL5" s="135"/>
      <c r="BM5" s="135"/>
      <c r="BN5" s="136"/>
      <c r="BO5" s="134">
        <f>BO6</f>
        <v>46188</v>
      </c>
      <c r="BP5" s="135"/>
      <c r="BQ5" s="135"/>
      <c r="BR5" s="135"/>
      <c r="BS5" s="135"/>
      <c r="BT5" s="135"/>
      <c r="BU5" s="136"/>
      <c r="BV5" s="134">
        <f>BV6</f>
        <v>46195</v>
      </c>
      <c r="BW5" s="135"/>
      <c r="BX5" s="135"/>
      <c r="BY5" s="135"/>
      <c r="BZ5" s="135"/>
      <c r="CA5" s="135"/>
      <c r="CB5" s="136"/>
    </row>
    <row r="6" spans="1:80" x14ac:dyDescent="0.25">
      <c r="A6" s="31"/>
      <c r="B6" s="31"/>
      <c r="C6" s="31"/>
      <c r="D6" s="31"/>
      <c r="E6" s="31"/>
      <c r="F6" s="31"/>
      <c r="G6" s="31"/>
      <c r="H6" s="31"/>
      <c r="I6" s="31"/>
      <c r="J6" s="31"/>
      <c r="K6" s="129">
        <f>C4-WEEKDAY(C4,1)+2+7*(H4-1)</f>
        <v>46132</v>
      </c>
      <c r="L6" s="130">
        <f t="shared" ref="L6:AQ6" si="0">K6+1</f>
        <v>46133</v>
      </c>
      <c r="M6" s="130">
        <f t="shared" si="0"/>
        <v>46134</v>
      </c>
      <c r="N6" s="130">
        <f t="shared" si="0"/>
        <v>46135</v>
      </c>
      <c r="O6" s="130">
        <f t="shared" si="0"/>
        <v>46136</v>
      </c>
      <c r="P6" s="130">
        <f t="shared" si="0"/>
        <v>46137</v>
      </c>
      <c r="Q6" s="131">
        <f t="shared" si="0"/>
        <v>46138</v>
      </c>
      <c r="R6" s="129">
        <f t="shared" si="0"/>
        <v>46139</v>
      </c>
      <c r="S6" s="130">
        <f t="shared" si="0"/>
        <v>46140</v>
      </c>
      <c r="T6" s="130">
        <f t="shared" si="0"/>
        <v>46141</v>
      </c>
      <c r="U6" s="130">
        <f t="shared" si="0"/>
        <v>46142</v>
      </c>
      <c r="V6" s="130">
        <f t="shared" si="0"/>
        <v>46143</v>
      </c>
      <c r="W6" s="130">
        <f t="shared" si="0"/>
        <v>46144</v>
      </c>
      <c r="X6" s="131">
        <f t="shared" si="0"/>
        <v>46145</v>
      </c>
      <c r="Y6" s="129">
        <f t="shared" si="0"/>
        <v>46146</v>
      </c>
      <c r="Z6" s="130">
        <f t="shared" si="0"/>
        <v>46147</v>
      </c>
      <c r="AA6" s="130">
        <f t="shared" si="0"/>
        <v>46148</v>
      </c>
      <c r="AB6" s="130">
        <f t="shared" si="0"/>
        <v>46149</v>
      </c>
      <c r="AC6" s="130">
        <f t="shared" si="0"/>
        <v>46150</v>
      </c>
      <c r="AD6" s="130">
        <f t="shared" si="0"/>
        <v>46151</v>
      </c>
      <c r="AE6" s="131">
        <f t="shared" si="0"/>
        <v>46152</v>
      </c>
      <c r="AF6" s="129">
        <f t="shared" si="0"/>
        <v>46153</v>
      </c>
      <c r="AG6" s="130">
        <f t="shared" si="0"/>
        <v>46154</v>
      </c>
      <c r="AH6" s="130">
        <f t="shared" si="0"/>
        <v>46155</v>
      </c>
      <c r="AI6" s="130">
        <f t="shared" si="0"/>
        <v>46156</v>
      </c>
      <c r="AJ6" s="130">
        <f t="shared" si="0"/>
        <v>46157</v>
      </c>
      <c r="AK6" s="130">
        <f t="shared" si="0"/>
        <v>46158</v>
      </c>
      <c r="AL6" s="131">
        <f t="shared" si="0"/>
        <v>46159</v>
      </c>
      <c r="AM6" s="129">
        <f t="shared" si="0"/>
        <v>46160</v>
      </c>
      <c r="AN6" s="130">
        <f t="shared" si="0"/>
        <v>46161</v>
      </c>
      <c r="AO6" s="130">
        <f t="shared" si="0"/>
        <v>46162</v>
      </c>
      <c r="AP6" s="130">
        <f t="shared" si="0"/>
        <v>46163</v>
      </c>
      <c r="AQ6" s="130">
        <f t="shared" si="0"/>
        <v>46164</v>
      </c>
      <c r="AR6" s="130">
        <f t="shared" ref="AR6:CB6" si="1">AQ6+1</f>
        <v>46165</v>
      </c>
      <c r="AS6" s="131">
        <f t="shared" si="1"/>
        <v>46166</v>
      </c>
      <c r="AT6" s="129">
        <f t="shared" si="1"/>
        <v>46167</v>
      </c>
      <c r="AU6" s="130">
        <f t="shared" si="1"/>
        <v>46168</v>
      </c>
      <c r="AV6" s="130">
        <f t="shared" si="1"/>
        <v>46169</v>
      </c>
      <c r="AW6" s="130">
        <f t="shared" si="1"/>
        <v>46170</v>
      </c>
      <c r="AX6" s="130">
        <f t="shared" si="1"/>
        <v>46171</v>
      </c>
      <c r="AY6" s="130">
        <f t="shared" si="1"/>
        <v>46172</v>
      </c>
      <c r="AZ6" s="131">
        <f t="shared" si="1"/>
        <v>46173</v>
      </c>
      <c r="BA6" s="129">
        <f t="shared" si="1"/>
        <v>46174</v>
      </c>
      <c r="BB6" s="130">
        <f t="shared" si="1"/>
        <v>46175</v>
      </c>
      <c r="BC6" s="130">
        <f t="shared" si="1"/>
        <v>46176</v>
      </c>
      <c r="BD6" s="130">
        <f t="shared" si="1"/>
        <v>46177</v>
      </c>
      <c r="BE6" s="130">
        <f t="shared" si="1"/>
        <v>46178</v>
      </c>
      <c r="BF6" s="130">
        <f t="shared" si="1"/>
        <v>46179</v>
      </c>
      <c r="BG6" s="131">
        <f t="shared" si="1"/>
        <v>46180</v>
      </c>
      <c r="BH6" s="129">
        <f t="shared" si="1"/>
        <v>46181</v>
      </c>
      <c r="BI6" s="130">
        <f t="shared" si="1"/>
        <v>46182</v>
      </c>
      <c r="BJ6" s="130">
        <f t="shared" si="1"/>
        <v>46183</v>
      </c>
      <c r="BK6" s="130">
        <f t="shared" si="1"/>
        <v>46184</v>
      </c>
      <c r="BL6" s="130">
        <f t="shared" si="1"/>
        <v>46185</v>
      </c>
      <c r="BM6" s="130">
        <f t="shared" si="1"/>
        <v>46186</v>
      </c>
      <c r="BN6" s="131">
        <f t="shared" si="1"/>
        <v>46187</v>
      </c>
      <c r="BO6" s="129">
        <f t="shared" si="1"/>
        <v>46188</v>
      </c>
      <c r="BP6" s="130">
        <f t="shared" si="1"/>
        <v>46189</v>
      </c>
      <c r="BQ6" s="130">
        <f t="shared" si="1"/>
        <v>46190</v>
      </c>
      <c r="BR6" s="130">
        <f t="shared" si="1"/>
        <v>46191</v>
      </c>
      <c r="BS6" s="130">
        <f t="shared" si="1"/>
        <v>46192</v>
      </c>
      <c r="BT6" s="130">
        <f t="shared" si="1"/>
        <v>46193</v>
      </c>
      <c r="BU6" s="131">
        <f t="shared" si="1"/>
        <v>46194</v>
      </c>
      <c r="BV6" s="129">
        <f t="shared" si="1"/>
        <v>46195</v>
      </c>
      <c r="BW6" s="130">
        <f t="shared" si="1"/>
        <v>46196</v>
      </c>
      <c r="BX6" s="130">
        <f t="shared" si="1"/>
        <v>46197</v>
      </c>
      <c r="BY6" s="130">
        <f t="shared" si="1"/>
        <v>46198</v>
      </c>
      <c r="BZ6" s="130">
        <f t="shared" si="1"/>
        <v>46199</v>
      </c>
      <c r="CA6" s="130">
        <f t="shared" si="1"/>
        <v>46200</v>
      </c>
      <c r="CB6" s="131">
        <f t="shared" si="1"/>
        <v>46201</v>
      </c>
    </row>
    <row r="7" spans="1:80" s="94" customFormat="1" ht="24.6" customHeight="1" thickBot="1" x14ac:dyDescent="0.3">
      <c r="A7" s="87" t="s">
        <v>6</v>
      </c>
      <c r="B7" s="87" t="s">
        <v>7</v>
      </c>
      <c r="C7" s="88" t="s">
        <v>8</v>
      </c>
      <c r="D7" s="89" t="s">
        <v>9</v>
      </c>
      <c r="E7" s="90" t="s">
        <v>10</v>
      </c>
      <c r="F7" s="90" t="s">
        <v>11</v>
      </c>
      <c r="G7" s="88" t="s">
        <v>12</v>
      </c>
      <c r="H7" s="88" t="s">
        <v>13</v>
      </c>
      <c r="I7" s="88" t="s">
        <v>14</v>
      </c>
      <c r="J7" s="88"/>
      <c r="K7" s="91" t="str">
        <f t="shared" ref="K7:AP7" si="2">CHOOSE(WEEKDAY(K6,1),"S","M","T","W","T","F","S")</f>
        <v>M</v>
      </c>
      <c r="L7" s="92" t="str">
        <f t="shared" si="2"/>
        <v>T</v>
      </c>
      <c r="M7" s="92" t="str">
        <f t="shared" si="2"/>
        <v>W</v>
      </c>
      <c r="N7" s="92" t="str">
        <f t="shared" si="2"/>
        <v>T</v>
      </c>
      <c r="O7" s="92" t="str">
        <f t="shared" si="2"/>
        <v>F</v>
      </c>
      <c r="P7" s="92" t="str">
        <f t="shared" si="2"/>
        <v>S</v>
      </c>
      <c r="Q7" s="93" t="str">
        <f t="shared" si="2"/>
        <v>S</v>
      </c>
      <c r="R7" s="91" t="str">
        <f t="shared" si="2"/>
        <v>M</v>
      </c>
      <c r="S7" s="92" t="str">
        <f t="shared" si="2"/>
        <v>T</v>
      </c>
      <c r="T7" s="92" t="str">
        <f t="shared" si="2"/>
        <v>W</v>
      </c>
      <c r="U7" s="92" t="str">
        <f t="shared" si="2"/>
        <v>T</v>
      </c>
      <c r="V7" s="92" t="str">
        <f t="shared" si="2"/>
        <v>F</v>
      </c>
      <c r="W7" s="92" t="str">
        <f t="shared" si="2"/>
        <v>S</v>
      </c>
      <c r="X7" s="93" t="str">
        <f t="shared" si="2"/>
        <v>S</v>
      </c>
      <c r="Y7" s="91" t="str">
        <f t="shared" si="2"/>
        <v>M</v>
      </c>
      <c r="Z7" s="92" t="str">
        <f t="shared" si="2"/>
        <v>T</v>
      </c>
      <c r="AA7" s="92" t="str">
        <f t="shared" si="2"/>
        <v>W</v>
      </c>
      <c r="AB7" s="92" t="str">
        <f t="shared" si="2"/>
        <v>T</v>
      </c>
      <c r="AC7" s="92" t="str">
        <f t="shared" si="2"/>
        <v>F</v>
      </c>
      <c r="AD7" s="92" t="str">
        <f t="shared" si="2"/>
        <v>S</v>
      </c>
      <c r="AE7" s="93" t="str">
        <f t="shared" si="2"/>
        <v>S</v>
      </c>
      <c r="AF7" s="91" t="str">
        <f t="shared" si="2"/>
        <v>M</v>
      </c>
      <c r="AG7" s="92" t="str">
        <f t="shared" si="2"/>
        <v>T</v>
      </c>
      <c r="AH7" s="92" t="str">
        <f t="shared" si="2"/>
        <v>W</v>
      </c>
      <c r="AI7" s="92" t="str">
        <f t="shared" si="2"/>
        <v>T</v>
      </c>
      <c r="AJ7" s="92" t="str">
        <f t="shared" si="2"/>
        <v>F</v>
      </c>
      <c r="AK7" s="92" t="str">
        <f t="shared" si="2"/>
        <v>S</v>
      </c>
      <c r="AL7" s="93" t="str">
        <f t="shared" si="2"/>
        <v>S</v>
      </c>
      <c r="AM7" s="91" t="str">
        <f t="shared" si="2"/>
        <v>M</v>
      </c>
      <c r="AN7" s="92" t="str">
        <f t="shared" si="2"/>
        <v>T</v>
      </c>
      <c r="AO7" s="92" t="str">
        <f t="shared" si="2"/>
        <v>W</v>
      </c>
      <c r="AP7" s="92" t="str">
        <f t="shared" si="2"/>
        <v>T</v>
      </c>
      <c r="AQ7" s="92" t="str">
        <f t="shared" ref="AQ7:BV7" si="3">CHOOSE(WEEKDAY(AQ6,1),"S","M","T","W","T","F","S")</f>
        <v>F</v>
      </c>
      <c r="AR7" s="92" t="str">
        <f t="shared" si="3"/>
        <v>S</v>
      </c>
      <c r="AS7" s="93" t="str">
        <f t="shared" si="3"/>
        <v>S</v>
      </c>
      <c r="AT7" s="91" t="str">
        <f t="shared" si="3"/>
        <v>M</v>
      </c>
      <c r="AU7" s="92" t="str">
        <f t="shared" si="3"/>
        <v>T</v>
      </c>
      <c r="AV7" s="92" t="str">
        <f t="shared" si="3"/>
        <v>W</v>
      </c>
      <c r="AW7" s="92" t="str">
        <f t="shared" si="3"/>
        <v>T</v>
      </c>
      <c r="AX7" s="92" t="str">
        <f t="shared" si="3"/>
        <v>F</v>
      </c>
      <c r="AY7" s="92" t="str">
        <f t="shared" si="3"/>
        <v>S</v>
      </c>
      <c r="AZ7" s="93" t="str">
        <f t="shared" si="3"/>
        <v>S</v>
      </c>
      <c r="BA7" s="91" t="str">
        <f t="shared" si="3"/>
        <v>M</v>
      </c>
      <c r="BB7" s="92" t="str">
        <f t="shared" si="3"/>
        <v>T</v>
      </c>
      <c r="BC7" s="92" t="str">
        <f t="shared" si="3"/>
        <v>W</v>
      </c>
      <c r="BD7" s="92" t="str">
        <f t="shared" si="3"/>
        <v>T</v>
      </c>
      <c r="BE7" s="92" t="str">
        <f t="shared" si="3"/>
        <v>F</v>
      </c>
      <c r="BF7" s="92" t="str">
        <f t="shared" si="3"/>
        <v>S</v>
      </c>
      <c r="BG7" s="93" t="str">
        <f t="shared" si="3"/>
        <v>S</v>
      </c>
      <c r="BH7" s="91" t="str">
        <f t="shared" si="3"/>
        <v>M</v>
      </c>
      <c r="BI7" s="92" t="str">
        <f t="shared" si="3"/>
        <v>T</v>
      </c>
      <c r="BJ7" s="92" t="str">
        <f t="shared" si="3"/>
        <v>W</v>
      </c>
      <c r="BK7" s="92" t="str">
        <f t="shared" si="3"/>
        <v>T</v>
      </c>
      <c r="BL7" s="92" t="str">
        <f t="shared" si="3"/>
        <v>F</v>
      </c>
      <c r="BM7" s="92" t="str">
        <f t="shared" si="3"/>
        <v>S</v>
      </c>
      <c r="BN7" s="93" t="str">
        <f t="shared" si="3"/>
        <v>S</v>
      </c>
      <c r="BO7" s="91" t="str">
        <f t="shared" si="3"/>
        <v>M</v>
      </c>
      <c r="BP7" s="92" t="str">
        <f t="shared" si="3"/>
        <v>T</v>
      </c>
      <c r="BQ7" s="92" t="str">
        <f t="shared" si="3"/>
        <v>W</v>
      </c>
      <c r="BR7" s="92" t="str">
        <f t="shared" si="3"/>
        <v>T</v>
      </c>
      <c r="BS7" s="92" t="str">
        <f t="shared" si="3"/>
        <v>F</v>
      </c>
      <c r="BT7" s="92" t="str">
        <f t="shared" si="3"/>
        <v>S</v>
      </c>
      <c r="BU7" s="93" t="str">
        <f t="shared" si="3"/>
        <v>S</v>
      </c>
      <c r="BV7" s="91" t="str">
        <f t="shared" si="3"/>
        <v>M</v>
      </c>
      <c r="BW7" s="92" t="str">
        <f t="shared" ref="BW7:CB7" si="4">CHOOSE(WEEKDAY(BW6,1),"S","M","T","W","T","F","S")</f>
        <v>T</v>
      </c>
      <c r="BX7" s="92" t="str">
        <f t="shared" si="4"/>
        <v>W</v>
      </c>
      <c r="BY7" s="92" t="str">
        <f t="shared" si="4"/>
        <v>T</v>
      </c>
      <c r="BZ7" s="92" t="str">
        <f t="shared" si="4"/>
        <v>F</v>
      </c>
      <c r="CA7" s="92" t="str">
        <f t="shared" si="4"/>
        <v>S</v>
      </c>
      <c r="CB7" s="93" t="str">
        <f t="shared" si="4"/>
        <v>S</v>
      </c>
    </row>
    <row r="8" spans="1:80" s="35" customFormat="1" ht="17.399999999999999" customHeight="1" x14ac:dyDescent="0.25">
      <c r="A8" s="61" t="str">
        <f>IF(ISERROR(VALUE(SUBSTITUTE(prevWBS,".",""))),"1",IF(ISERROR(FIND("`",SUBSTITUTE(prevWBS,".","`",1))),TEXT(VALUE(prevWBS)+1,"#"),TEXT(VALUE(LEFT(prevWBS,FIND("`",SUBSTITUTE(prevWBS,".","`",1))-1))+1,"#")))</f>
        <v>1</v>
      </c>
      <c r="B8" s="62" t="s">
        <v>15</v>
      </c>
      <c r="C8" s="63" t="s">
        <v>16</v>
      </c>
      <c r="D8" s="64"/>
      <c r="E8" s="65"/>
      <c r="F8" s="86"/>
      <c r="G8" s="66"/>
      <c r="H8" s="67"/>
      <c r="I8" s="68"/>
      <c r="J8" s="69"/>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row>
    <row r="9" spans="1:80" s="40" customFormat="1" ht="17.399999999999999" customHeight="1" x14ac:dyDescent="0.25">
      <c r="A9"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96" t="s">
        <v>17</v>
      </c>
      <c r="C9" s="40" t="s">
        <v>16</v>
      </c>
      <c r="D9" s="97"/>
      <c r="E9" s="74">
        <v>46132</v>
      </c>
      <c r="F9" s="75"/>
      <c r="G9" s="41">
        <v>5</v>
      </c>
      <c r="H9" s="42">
        <v>1</v>
      </c>
      <c r="I9" s="58"/>
      <c r="J9" s="73"/>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row>
    <row r="10" spans="1:80" s="40" customFormat="1" ht="17.399999999999999" customHeight="1" x14ac:dyDescent="0.25">
      <c r="A10"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96" t="s">
        <v>161</v>
      </c>
      <c r="C10" t="s">
        <v>16</v>
      </c>
      <c r="D10" s="97"/>
      <c r="E10" s="74">
        <v>46139</v>
      </c>
      <c r="F10" s="75"/>
      <c r="G10" s="41">
        <v>5</v>
      </c>
      <c r="H10" s="42">
        <v>1</v>
      </c>
      <c r="I10" s="58"/>
      <c r="J10" s="73"/>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row>
    <row r="11" spans="1:80" s="40" customFormat="1" ht="17.399999999999999" customHeight="1" x14ac:dyDescent="0.25">
      <c r="A11"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1" s="96" t="s">
        <v>18</v>
      </c>
      <c r="C11" t="s">
        <v>16</v>
      </c>
      <c r="D11" s="97"/>
      <c r="E11" s="74"/>
      <c r="F11" s="75"/>
      <c r="G11" s="41"/>
      <c r="H11" s="42"/>
      <c r="I11" s="58"/>
      <c r="J11" s="73"/>
      <c r="K11" s="81"/>
      <c r="L11" s="81"/>
      <c r="M11" s="82"/>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row>
    <row r="12" spans="1:80" s="40" customFormat="1" ht="17.399999999999999" customHeight="1" x14ac:dyDescent="0.25">
      <c r="A12"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2" s="96" t="s">
        <v>19</v>
      </c>
      <c r="C12" t="s">
        <v>16</v>
      </c>
      <c r="D12" s="97"/>
      <c r="E12" s="74">
        <v>46146</v>
      </c>
      <c r="F12" s="75"/>
      <c r="G12" s="41">
        <v>5</v>
      </c>
      <c r="H12" s="42">
        <v>1</v>
      </c>
      <c r="I12" s="58"/>
      <c r="J12" s="73"/>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row>
    <row r="13" spans="1:80" s="40" customFormat="1" ht="17.399999999999999" customHeight="1" x14ac:dyDescent="0.25">
      <c r="A13" s="81"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98" t="s">
        <v>20</v>
      </c>
      <c r="C13" t="s">
        <v>21</v>
      </c>
      <c r="D13" s="97"/>
      <c r="E13" s="74">
        <v>46153</v>
      </c>
      <c r="F13" s="75"/>
      <c r="G13" s="41">
        <v>5</v>
      </c>
      <c r="H13" s="42">
        <v>1</v>
      </c>
      <c r="I13" s="58"/>
      <c r="J13" s="73"/>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row>
    <row r="14" spans="1:80" s="40" customFormat="1" ht="17.399999999999999" customHeight="1" x14ac:dyDescent="0.25">
      <c r="A14" s="81"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98" t="s">
        <v>22</v>
      </c>
      <c r="C14" t="s">
        <v>23</v>
      </c>
      <c r="D14" s="97"/>
      <c r="E14" s="74"/>
      <c r="F14" s="75"/>
      <c r="G14" s="41"/>
      <c r="H14" s="42"/>
      <c r="I14" s="58"/>
      <c r="J14" s="73"/>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row>
    <row r="15" spans="1:80" s="40" customFormat="1" ht="17.399999999999999" customHeight="1" x14ac:dyDescent="0.25">
      <c r="A15"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1.5</v>
      </c>
      <c r="B15" s="96" t="s">
        <v>24</v>
      </c>
      <c r="C15" t="s">
        <v>23</v>
      </c>
      <c r="D15" s="97"/>
      <c r="E15" s="74">
        <v>46160</v>
      </c>
      <c r="F15" s="75"/>
      <c r="G15" s="41">
        <v>10</v>
      </c>
      <c r="H15" s="42">
        <v>1</v>
      </c>
      <c r="I15" s="58"/>
      <c r="J15" s="73"/>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row>
    <row r="16" spans="1:80" s="40" customFormat="1" ht="17.399999999999999" customHeight="1" x14ac:dyDescent="0.25">
      <c r="A16"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1.6</v>
      </c>
      <c r="B16" s="96" t="s">
        <v>25</v>
      </c>
      <c r="C16" t="s">
        <v>23</v>
      </c>
      <c r="D16" s="97"/>
      <c r="E16" s="74">
        <v>46167</v>
      </c>
      <c r="F16" s="75"/>
      <c r="G16" s="41">
        <v>10</v>
      </c>
      <c r="H16" s="42">
        <v>1</v>
      </c>
      <c r="I16" s="58"/>
      <c r="J16" s="73"/>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row>
    <row r="17" spans="1:66" s="40" customFormat="1" ht="17.399999999999999" customHeight="1" x14ac:dyDescent="0.25">
      <c r="A17"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1.7</v>
      </c>
      <c r="B17" s="96" t="s">
        <v>26</v>
      </c>
      <c r="C17" t="s">
        <v>23</v>
      </c>
      <c r="D17" s="97"/>
      <c r="E17" s="74">
        <v>46174</v>
      </c>
      <c r="F17" s="75"/>
      <c r="G17" s="41">
        <v>10</v>
      </c>
      <c r="H17" s="42">
        <v>1</v>
      </c>
      <c r="I17" s="58"/>
      <c r="J17" s="73"/>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row>
    <row r="18" spans="1:66" s="35" customFormat="1" ht="17.399999999999999" customHeight="1" x14ac:dyDescent="0.25">
      <c r="A18" s="33" t="str">
        <f>IF(ISERROR(VALUE(SUBSTITUTE(prevWBS,".",""))),"1",IF(ISERROR(FIND("`",SUBSTITUTE(prevWBS,".","`",1))),TEXT(VALUE(prevWBS)+1,"#"),TEXT(VALUE(LEFT(prevWBS,FIND("`",SUBSTITUTE(prevWBS,".","`",1))-1))+1,"#")))</f>
        <v>2</v>
      </c>
      <c r="B18" s="34" t="s">
        <v>27</v>
      </c>
      <c r="C18" t="s">
        <v>23</v>
      </c>
      <c r="D18" s="36"/>
      <c r="E18" s="76">
        <v>46181</v>
      </c>
      <c r="F18" s="76"/>
      <c r="G18" s="37">
        <v>10</v>
      </c>
      <c r="H18" s="38">
        <v>1</v>
      </c>
      <c r="I18" s="39"/>
      <c r="J18" s="70"/>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row>
    <row r="19" spans="1:66" s="40" customFormat="1" ht="17.399999999999999" customHeight="1" x14ac:dyDescent="0.25">
      <c r="A19"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96" t="s">
        <v>28</v>
      </c>
      <c r="C19" t="s">
        <v>21</v>
      </c>
      <c r="D19" s="97"/>
      <c r="E19" s="74"/>
      <c r="F19" s="75"/>
      <c r="G19" s="41"/>
      <c r="H19" s="42"/>
      <c r="I19" s="58"/>
      <c r="J19" s="73"/>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row>
    <row r="20" spans="1:66" s="40" customFormat="1" ht="17.399999999999999" customHeight="1" x14ac:dyDescent="0.25">
      <c r="A20"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96" t="s">
        <v>29</v>
      </c>
      <c r="C20" t="s">
        <v>21</v>
      </c>
      <c r="D20" s="97"/>
      <c r="E20" s="74">
        <v>46188</v>
      </c>
      <c r="F20" s="75"/>
      <c r="G20" s="41">
        <v>10</v>
      </c>
      <c r="H20" s="42">
        <v>1</v>
      </c>
      <c r="I20" s="58"/>
      <c r="J20" s="73"/>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row>
    <row r="21" spans="1:66" s="40" customFormat="1" ht="17.399999999999999" customHeight="1" x14ac:dyDescent="0.25">
      <c r="A21"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96" t="s">
        <v>30</v>
      </c>
      <c r="C21" t="s">
        <v>21</v>
      </c>
      <c r="D21" s="97"/>
      <c r="E21" s="74">
        <v>46195</v>
      </c>
      <c r="F21" s="75"/>
      <c r="G21" s="41">
        <v>5</v>
      </c>
      <c r="H21" s="42">
        <v>1</v>
      </c>
      <c r="I21" s="58"/>
      <c r="J21" s="73"/>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row>
    <row r="22" spans="1:66" s="40" customFormat="1" ht="17.399999999999999" customHeight="1" x14ac:dyDescent="0.25">
      <c r="A22"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96" t="s">
        <v>31</v>
      </c>
      <c r="C22" t="s">
        <v>16</v>
      </c>
      <c r="D22" s="97"/>
      <c r="E22" s="74"/>
      <c r="F22" s="75"/>
      <c r="G22" s="41"/>
      <c r="H22" s="42"/>
      <c r="I22" s="58"/>
      <c r="J22" s="73"/>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row>
    <row r="23" spans="1:66" s="40" customFormat="1" ht="17.399999999999999" customHeight="1" x14ac:dyDescent="0.25">
      <c r="A23"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96" t="s">
        <v>32</v>
      </c>
      <c r="C23" t="s">
        <v>16</v>
      </c>
      <c r="D23" s="97"/>
      <c r="E23" s="74">
        <v>46202</v>
      </c>
      <c r="F23" s="75"/>
      <c r="G23" s="41">
        <v>5</v>
      </c>
      <c r="H23" s="42">
        <v>1</v>
      </c>
      <c r="I23" s="58"/>
      <c r="J23" s="73"/>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row>
    <row r="24" spans="1:66" s="35" customFormat="1" ht="17.399999999999999" customHeight="1" x14ac:dyDescent="0.25">
      <c r="A24" s="33" t="str">
        <f>IF(ISERROR(VALUE(SUBSTITUTE(prevWBS,".",""))),"1",IF(ISERROR(FIND("`",SUBSTITUTE(prevWBS,".","`",1))),TEXT(VALUE(prevWBS)+1,"#"),TEXT(VALUE(LEFT(prevWBS,FIND("`",SUBSTITUTE(prevWBS,".","`",1))-1))+1,"#")))</f>
        <v>3</v>
      </c>
      <c r="B24" s="34" t="s">
        <v>33</v>
      </c>
      <c r="C24" t="s">
        <v>34</v>
      </c>
      <c r="D24" s="36"/>
      <c r="E24" s="76">
        <v>46209</v>
      </c>
      <c r="F24" s="76"/>
      <c r="G24" s="37">
        <v>5</v>
      </c>
      <c r="H24" s="38">
        <v>1</v>
      </c>
      <c r="I24" s="39"/>
      <c r="J24" s="70"/>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row>
    <row r="25" spans="1:66" s="40" customFormat="1" ht="17.399999999999999" customHeight="1" x14ac:dyDescent="0.25">
      <c r="A25"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96" t="s">
        <v>35</v>
      </c>
      <c r="C25" t="s">
        <v>34</v>
      </c>
      <c r="D25" s="97"/>
      <c r="E25" s="74">
        <v>46216</v>
      </c>
      <c r="F25" s="75"/>
      <c r="G25" s="41">
        <v>5</v>
      </c>
      <c r="H25" s="42">
        <v>1</v>
      </c>
      <c r="I25" s="58"/>
      <c r="J25" s="73"/>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row>
    <row r="26" spans="1:66" s="40" customFormat="1" ht="17.399999999999999" customHeight="1" x14ac:dyDescent="0.25">
      <c r="A26"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96" t="s">
        <v>36</v>
      </c>
      <c r="C26" t="s">
        <v>16</v>
      </c>
      <c r="D26" s="97"/>
      <c r="E26" s="74">
        <v>46223</v>
      </c>
      <c r="F26" s="75"/>
      <c r="G26" s="41">
        <v>5</v>
      </c>
      <c r="H26" s="42">
        <v>1</v>
      </c>
      <c r="I26" s="58"/>
      <c r="J26" s="73"/>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row>
    <row r="27" spans="1:66" s="40" customFormat="1" ht="17.399999999999999" customHeight="1" x14ac:dyDescent="0.25">
      <c r="A27"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96"/>
      <c r="D27" s="97"/>
      <c r="E27" s="74"/>
      <c r="F27" s="75"/>
      <c r="G27" s="41"/>
      <c r="H27" s="42"/>
      <c r="I27" s="58"/>
      <c r="J27" s="73"/>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row>
    <row r="28" spans="1:66" s="40" customFormat="1" ht="17.399999999999999" customHeight="1" x14ac:dyDescent="0.25">
      <c r="A28"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96"/>
      <c r="D28" s="97"/>
      <c r="E28" s="74"/>
      <c r="F28" s="75"/>
      <c r="G28" s="41"/>
      <c r="H28" s="42"/>
      <c r="I28" s="58"/>
      <c r="J28" s="73"/>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row>
    <row r="29" spans="1:66" s="40" customFormat="1" ht="17.399999999999999" customHeight="1" x14ac:dyDescent="0.25">
      <c r="A29"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96"/>
      <c r="D29" s="97"/>
      <c r="E29" s="74"/>
      <c r="F29" s="75"/>
      <c r="G29" s="41"/>
      <c r="H29" s="42"/>
      <c r="I29" s="58"/>
      <c r="J29" s="73"/>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row>
    <row r="30" spans="1:66" s="35" customFormat="1" ht="17.399999999999999" customHeight="1" x14ac:dyDescent="0.25">
      <c r="A30" s="33" t="str">
        <f>IF(ISERROR(VALUE(SUBSTITUTE(prevWBS,".",""))),"1",IF(ISERROR(FIND("`",SUBSTITUTE(prevWBS,".","`",1))),TEXT(VALUE(prevWBS)+1,"#"),TEXT(VALUE(LEFT(prevWBS,FIND("`",SUBSTITUTE(prevWBS,".","`",1))-1))+1,"#")))</f>
        <v>4</v>
      </c>
      <c r="B30" s="34"/>
      <c r="D30" s="36"/>
      <c r="E30" s="76"/>
      <c r="F30" s="76"/>
      <c r="G30" s="37"/>
      <c r="H30" s="38"/>
      <c r="I30" s="39"/>
      <c r="J30" s="70"/>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row>
    <row r="31" spans="1:66" s="40" customFormat="1" ht="17.399999999999999" customHeight="1" x14ac:dyDescent="0.25">
      <c r="A31"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96" t="s">
        <v>37</v>
      </c>
      <c r="D31" s="97"/>
      <c r="E31" s="74">
        <v>43129</v>
      </c>
      <c r="F31" s="75">
        <f>IF(ISBLANK(E31)," - ",IF(G31=0,E31,E31+G31-1))</f>
        <v>43129</v>
      </c>
      <c r="G31" s="41">
        <v>1</v>
      </c>
      <c r="H31" s="42">
        <v>0</v>
      </c>
      <c r="I31" s="58">
        <f t="shared" ref="I31:I37" si="5">IF(OR(F31=0,E31=0)," - ",NETWORKDAYS(E31,F31))</f>
        <v>1</v>
      </c>
      <c r="J31" s="73"/>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row>
    <row r="32" spans="1:66" s="40" customFormat="1" ht="17.399999999999999" customHeight="1" x14ac:dyDescent="0.25">
      <c r="A32"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96" t="s">
        <v>37</v>
      </c>
      <c r="D32" s="97"/>
      <c r="E32" s="74">
        <v>43130</v>
      </c>
      <c r="F32" s="75">
        <f>IF(ISBLANK(E32)," - ",IF(G32=0,E32,E32+G32-1))</f>
        <v>43130</v>
      </c>
      <c r="G32" s="41">
        <v>1</v>
      </c>
      <c r="H32" s="42">
        <v>0</v>
      </c>
      <c r="I32" s="58">
        <f t="shared" si="5"/>
        <v>1</v>
      </c>
      <c r="J32" s="73"/>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row>
    <row r="33" spans="1:66" s="40" customFormat="1" ht="17.399999999999999" customHeight="1" x14ac:dyDescent="0.25">
      <c r="A33"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96" t="s">
        <v>37</v>
      </c>
      <c r="D33" s="97"/>
      <c r="E33" s="74">
        <v>43131</v>
      </c>
      <c r="F33" s="75">
        <f>IF(ISBLANK(E33)," - ",IF(G33=0,E33,E33+G33-1))</f>
        <v>43131</v>
      </c>
      <c r="G33" s="41">
        <v>1</v>
      </c>
      <c r="H33" s="42">
        <v>0</v>
      </c>
      <c r="I33" s="58">
        <f t="shared" si="5"/>
        <v>1</v>
      </c>
      <c r="J33" s="73"/>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row>
    <row r="34" spans="1:66" s="40" customFormat="1" ht="17.399999999999999" customHeight="1" x14ac:dyDescent="0.25">
      <c r="A34"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96" t="s">
        <v>37</v>
      </c>
      <c r="D34" s="97"/>
      <c r="E34" s="74">
        <v>43132</v>
      </c>
      <c r="F34" s="75">
        <f>IF(ISBLANK(E34)," - ",IF(G34=0,E34,E34+G34-1))</f>
        <v>43132</v>
      </c>
      <c r="G34" s="41">
        <v>1</v>
      </c>
      <c r="H34" s="42">
        <v>0</v>
      </c>
      <c r="I34" s="58">
        <f t="shared" si="5"/>
        <v>1</v>
      </c>
      <c r="J34" s="73"/>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row>
    <row r="35" spans="1:66" s="40" customFormat="1" ht="17.399999999999999" customHeight="1" x14ac:dyDescent="0.25">
      <c r="A35"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96" t="s">
        <v>37</v>
      </c>
      <c r="D35" s="97"/>
      <c r="E35" s="74">
        <v>43133</v>
      </c>
      <c r="F35" s="75">
        <f>IF(ISBLANK(E35)," - ",IF(G35=0,E35,E35+G35-1))</f>
        <v>43133</v>
      </c>
      <c r="G35" s="41">
        <v>1</v>
      </c>
      <c r="H35" s="42">
        <v>0</v>
      </c>
      <c r="I35" s="58">
        <f t="shared" si="5"/>
        <v>1</v>
      </c>
      <c r="J35" s="73"/>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row>
    <row r="36" spans="1:66" s="48" customFormat="1" ht="17.399999999999999" customHeight="1" x14ac:dyDescent="0.25">
      <c r="A36" s="81"/>
      <c r="B36" s="43"/>
      <c r="C36" s="43"/>
      <c r="D36" s="44"/>
      <c r="E36" s="77"/>
      <c r="F36" s="77"/>
      <c r="G36" s="45"/>
      <c r="H36" s="46"/>
      <c r="I36" s="47" t="str">
        <f t="shared" si="5"/>
        <v xml:space="preserve"> - </v>
      </c>
      <c r="J36" s="7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row>
    <row r="37" spans="1:66" s="48" customFormat="1" ht="17.399999999999999" customHeight="1" x14ac:dyDescent="0.25">
      <c r="A37" s="81"/>
      <c r="B37" s="43"/>
      <c r="C37" s="43"/>
      <c r="D37" s="44"/>
      <c r="E37" s="77"/>
      <c r="F37" s="77"/>
      <c r="G37" s="45"/>
      <c r="H37" s="46"/>
      <c r="I37" s="47" t="str">
        <f t="shared" si="5"/>
        <v xml:space="preserve"> - </v>
      </c>
      <c r="J37" s="7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row>
    <row r="38" spans="1:66" s="53" customFormat="1" ht="17.399999999999999" customHeight="1" x14ac:dyDescent="0.25">
      <c r="A38" s="49" t="s">
        <v>38</v>
      </c>
      <c r="B38" s="50"/>
      <c r="C38" s="51"/>
      <c r="D38" s="51"/>
      <c r="E38" s="78"/>
      <c r="F38" s="78"/>
      <c r="G38" s="52"/>
      <c r="H38" s="52"/>
      <c r="I38" s="52"/>
      <c r="J38" s="72"/>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row>
    <row r="39" spans="1:66" s="48" customFormat="1" ht="17.399999999999999" customHeight="1" x14ac:dyDescent="0.25">
      <c r="A39" s="54" t="s">
        <v>39</v>
      </c>
      <c r="B39" s="55"/>
      <c r="C39" s="55"/>
      <c r="D39" s="55"/>
      <c r="E39" s="79"/>
      <c r="F39" s="79"/>
      <c r="G39" s="55"/>
      <c r="H39" s="55"/>
      <c r="I39" s="55"/>
      <c r="J39" s="72"/>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row>
    <row r="40" spans="1:66" s="48" customFormat="1" ht="17.399999999999999" customHeight="1" x14ac:dyDescent="0.25">
      <c r="A40" s="100" t="str">
        <f>IF(ISERROR(VALUE(SUBSTITUTE(prevWBS,".",""))),"1",IF(ISERROR(FIND("`",SUBSTITUTE(prevWBS,".","`",1))),TEXT(VALUE(prevWBS)+1,"#"),TEXT(VALUE(LEFT(prevWBS,FIND("`",SUBSTITUTE(prevWBS,".","`",1))-1))+1,"#")))</f>
        <v>1</v>
      </c>
      <c r="B40" s="101" t="s">
        <v>40</v>
      </c>
      <c r="C40" s="56"/>
      <c r="D40" s="57"/>
      <c r="E40" s="74"/>
      <c r="F40" s="75" t="str">
        <f>IF(ISBLANK(E40)," - ",IF(G40=0,E40,E40+G40-1))</f>
        <v xml:space="preserve"> - </v>
      </c>
      <c r="G40" s="41"/>
      <c r="H40" s="42"/>
      <c r="I40" s="58" t="str">
        <f>IF(OR(F40=0,E40=0)," - ",NETWORKDAYS(E40,F40))</f>
        <v xml:space="preserve"> - </v>
      </c>
      <c r="J40" s="73"/>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row>
    <row r="41" spans="1:66" s="48" customFormat="1" ht="17.399999999999999" customHeight="1" x14ac:dyDescent="0.25">
      <c r="A41" s="8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1" s="59" t="s">
        <v>41</v>
      </c>
      <c r="C41" s="59"/>
      <c r="D41" s="57"/>
      <c r="E41" s="74"/>
      <c r="F41" s="75" t="str">
        <f>IF(ISBLANK(E41)," - ",IF(G41=0,E41,E41+G41-1))</f>
        <v xml:space="preserve"> - </v>
      </c>
      <c r="G41" s="41"/>
      <c r="H41" s="42"/>
      <c r="I41" s="58" t="str">
        <f>IF(OR(F41=0,E41=0)," - ",NETWORKDAYS(E41,F41))</f>
        <v xml:space="preserve"> - </v>
      </c>
      <c r="J41" s="73"/>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row>
    <row r="42" spans="1:66" s="48" customFormat="1" ht="17.399999999999999" customHeight="1" x14ac:dyDescent="0.25">
      <c r="A42" s="81"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2" s="60" t="s">
        <v>42</v>
      </c>
      <c r="C42" s="59"/>
      <c r="D42" s="57"/>
      <c r="E42" s="74"/>
      <c r="F42" s="75" t="str">
        <f>IF(ISBLANK(E42)," - ",IF(G42=0,E42,E42+G42-1))</f>
        <v xml:space="preserve"> - </v>
      </c>
      <c r="G42" s="41"/>
      <c r="H42" s="42"/>
      <c r="I42" s="58" t="str">
        <f>IF(OR(F42=0,E42=0)," - ",NETWORKDAYS(E42,F42))</f>
        <v xml:space="preserve"> - </v>
      </c>
      <c r="J42" s="73"/>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row>
    <row r="43" spans="1:66" s="48" customFormat="1" ht="17.399999999999999" customHeight="1" x14ac:dyDescent="0.25">
      <c r="A43" s="81"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3" s="60" t="s">
        <v>43</v>
      </c>
      <c r="C43" s="59"/>
      <c r="D43" s="57"/>
      <c r="E43" s="74"/>
      <c r="F43" s="75" t="str">
        <f>IF(ISBLANK(E43)," - ",IF(G43=0,E43,E43+G43-1))</f>
        <v xml:space="preserve"> - </v>
      </c>
      <c r="G43" s="41"/>
      <c r="H43" s="42"/>
      <c r="I43" s="58" t="str">
        <f>IF(OR(F43=0,E43=0)," - ",NETWORKDAYS(E43,F43))</f>
        <v xml:space="preserve"> - </v>
      </c>
      <c r="J43" s="73"/>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row>
    <row r="44" spans="1:66" s="17" customFormat="1" x14ac:dyDescent="0.25">
      <c r="A44" s="128" t="str">
        <f>HYPERLINK("https://vertex42.link/HowToCreateAGanttChart","► Watch How to Create a Gantt Chart in Excel")</f>
        <v>► Watch How to Create a Gantt Chart in Excel</v>
      </c>
    </row>
  </sheetData>
  <mergeCells count="23">
    <mergeCell ref="BH4:BN4"/>
    <mergeCell ref="K5:Q5"/>
    <mergeCell ref="K1:AE1"/>
    <mergeCell ref="BA4:BG4"/>
    <mergeCell ref="K4:Q4"/>
    <mergeCell ref="R5:X5"/>
    <mergeCell ref="Y4:AE4"/>
    <mergeCell ref="C5:E5"/>
    <mergeCell ref="BH5:BN5"/>
    <mergeCell ref="AT4:AZ4"/>
    <mergeCell ref="C4:E4"/>
    <mergeCell ref="BV5:CB5"/>
    <mergeCell ref="R4:X4"/>
    <mergeCell ref="AF4:AL4"/>
    <mergeCell ref="BV4:CB4"/>
    <mergeCell ref="Y5:AE5"/>
    <mergeCell ref="AM5:AS5"/>
    <mergeCell ref="AT5:AZ5"/>
    <mergeCell ref="BA5:BG5"/>
    <mergeCell ref="AF5:AL5"/>
    <mergeCell ref="AM4:AS4"/>
    <mergeCell ref="BO5:BU5"/>
    <mergeCell ref="BO4:BU4"/>
  </mergeCells>
  <conditionalFormatting sqref="H8:H43">
    <cfRule type="dataBar" priority="6">
      <dataBar>
        <cfvo type="num" val="0"/>
        <cfvo type="num" val="1"/>
        <color theme="0" tint="-0.34998626667073579"/>
      </dataBar>
    </cfRule>
  </conditionalFormatting>
  <conditionalFormatting sqref="K6:BN7">
    <cfRule type="expression" dxfId="7" priority="49">
      <formula>K$6=TODAY()</formula>
    </cfRule>
  </conditionalFormatting>
  <conditionalFormatting sqref="K8:BN43">
    <cfRule type="expression" dxfId="6" priority="52">
      <formula>AND($E8&lt;=K$6,ROUNDDOWN(($F8-$E8+1)*$H8,0)+$E8-1&gt;=K$6)</formula>
    </cfRule>
    <cfRule type="expression" dxfId="5" priority="53">
      <formula>AND(NOT(ISBLANK($E8)),$E8&lt;=K$6,$F8&gt;=K$6)</formula>
    </cfRule>
  </conditionalFormatting>
  <conditionalFormatting sqref="K6:BN43">
    <cfRule type="expression" dxfId="4" priority="12">
      <formula>K$6=TODAY()</formula>
    </cfRule>
  </conditionalFormatting>
  <conditionalFormatting sqref="BO6:BU7">
    <cfRule type="expression" dxfId="3" priority="4">
      <formula>BO$6=TODAY()</formula>
    </cfRule>
    <cfRule type="expression" dxfId="2" priority="3">
      <formula>BO$6=TODAY()</formula>
    </cfRule>
  </conditionalFormatting>
  <conditionalFormatting sqref="BV6:CB7">
    <cfRule type="expression" dxfId="1" priority="2">
      <formula>BV$6=TODAY()</formula>
    </cfRule>
    <cfRule type="expression" dxfId="0" priority="1">
      <formula>BV$6=TODAY()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 r:id="rId1" xr:uid="{00000000-0004-0000-0000-000000000000}"/>
  </hyperlinks>
  <pageMargins left="0.25" right="0.25" top="0.5" bottom="0.5" header="0.5" footer="0.25"/>
  <pageSetup scale="63" fitToHeight="0" orientation="landscape"/>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6"/>
  <sheetViews>
    <sheetView showGridLines="0" workbookViewId="0">
      <selection activeCell="A2" sqref="A2"/>
    </sheetView>
  </sheetViews>
  <sheetFormatPr baseColWidth="10" defaultColWidth="9.109375" defaultRowHeight="13.2" x14ac:dyDescent="0.25"/>
  <cols>
    <col min="1" max="1" width="5.5546875" style="28" customWidth="1"/>
    <col min="2" max="2" width="37.6640625" style="28" customWidth="1"/>
    <col min="3" max="3" width="55.109375" style="28" customWidth="1"/>
    <col min="4" max="7" width="8.88671875" style="28" customWidth="1"/>
  </cols>
  <sheetData>
    <row r="1" spans="1:3" ht="30" customHeight="1" x14ac:dyDescent="0.25">
      <c r="A1" s="19" t="s">
        <v>44</v>
      </c>
    </row>
    <row r="4" spans="1:3" x14ac:dyDescent="0.25">
      <c r="C4" s="11" t="s">
        <v>45</v>
      </c>
    </row>
    <row r="5" spans="1:3" x14ac:dyDescent="0.25">
      <c r="C5" s="94" t="s">
        <v>46</v>
      </c>
    </row>
    <row r="6" spans="1:3" x14ac:dyDescent="0.25">
      <c r="C6" s="94"/>
    </row>
    <row r="7" spans="1:3" ht="17.399999999999999" customHeight="1" x14ac:dyDescent="0.3">
      <c r="C7" s="12" t="s">
        <v>47</v>
      </c>
    </row>
    <row r="8" spans="1:3" x14ac:dyDescent="0.25">
      <c r="C8" s="13" t="s">
        <v>48</v>
      </c>
    </row>
    <row r="10" spans="1:3" x14ac:dyDescent="0.25">
      <c r="C10" s="94" t="s">
        <v>49</v>
      </c>
    </row>
    <row r="11" spans="1:3" x14ac:dyDescent="0.25">
      <c r="C11" s="94" t="s">
        <v>50</v>
      </c>
    </row>
    <row r="13" spans="1:3" ht="17.399999999999999" customHeight="1" x14ac:dyDescent="0.3">
      <c r="C13" s="12" t="s">
        <v>51</v>
      </c>
    </row>
    <row r="16" spans="1:3" ht="15.6" customHeight="1" x14ac:dyDescent="0.3">
      <c r="A16" s="23" t="s">
        <v>52</v>
      </c>
    </row>
    <row r="18" spans="2:2" ht="13.8" customHeight="1" x14ac:dyDescent="0.25">
      <c r="B18" s="14" t="s">
        <v>53</v>
      </c>
    </row>
    <row r="19" spans="2:2" x14ac:dyDescent="0.25">
      <c r="B19" s="94" t="s">
        <v>54</v>
      </c>
    </row>
    <row r="20" spans="2:2" x14ac:dyDescent="0.25">
      <c r="B20" s="94" t="s">
        <v>55</v>
      </c>
    </row>
    <row r="22" spans="2:2" ht="13.8" customHeight="1" x14ac:dyDescent="0.25">
      <c r="B22" s="14" t="s">
        <v>56</v>
      </c>
    </row>
    <row r="23" spans="2:2" x14ac:dyDescent="0.25">
      <c r="B23" s="94" t="s">
        <v>57</v>
      </c>
    </row>
    <row r="24" spans="2:2" x14ac:dyDescent="0.25">
      <c r="B24" s="94" t="s">
        <v>58</v>
      </c>
    </row>
    <row r="26" spans="2:2" ht="13.8" customHeight="1" x14ac:dyDescent="0.25">
      <c r="B26" s="14" t="s">
        <v>59</v>
      </c>
    </row>
    <row r="27" spans="2:2" x14ac:dyDescent="0.25">
      <c r="B27" s="94" t="s">
        <v>60</v>
      </c>
    </row>
    <row r="28" spans="2:2" x14ac:dyDescent="0.25">
      <c r="B28" s="94" t="s">
        <v>61</v>
      </c>
    </row>
    <row r="29" spans="2:2" x14ac:dyDescent="0.25">
      <c r="B29" s="94" t="s">
        <v>62</v>
      </c>
    </row>
    <row r="30" spans="2:2" x14ac:dyDescent="0.25">
      <c r="B30" t="s">
        <v>63</v>
      </c>
    </row>
    <row r="31" spans="2:2" x14ac:dyDescent="0.25">
      <c r="B31" t="s">
        <v>64</v>
      </c>
    </row>
    <row r="32" spans="2:2" x14ac:dyDescent="0.25">
      <c r="B32" t="s">
        <v>65</v>
      </c>
    </row>
    <row r="34" spans="2:2" ht="13.8" customHeight="1" x14ac:dyDescent="0.25">
      <c r="B34" s="14" t="s">
        <v>66</v>
      </c>
    </row>
    <row r="35" spans="2:2" x14ac:dyDescent="0.25">
      <c r="B35" s="94" t="s">
        <v>67</v>
      </c>
    </row>
    <row r="36" spans="2:2" x14ac:dyDescent="0.25">
      <c r="B36" s="94" t="s">
        <v>68</v>
      </c>
    </row>
    <row r="37" spans="2:2" x14ac:dyDescent="0.25">
      <c r="B37" s="94" t="s">
        <v>69</v>
      </c>
    </row>
    <row r="39" spans="2:2" ht="13.8" customHeight="1" x14ac:dyDescent="0.25">
      <c r="B39" s="14" t="s">
        <v>70</v>
      </c>
    </row>
    <row r="40" spans="2:2" x14ac:dyDescent="0.25">
      <c r="B40" s="94" t="s">
        <v>71</v>
      </c>
    </row>
    <row r="42" spans="2:2" ht="13.8" customHeight="1" x14ac:dyDescent="0.25">
      <c r="B42" s="14" t="s">
        <v>72</v>
      </c>
    </row>
    <row r="43" spans="2:2" x14ac:dyDescent="0.25">
      <c r="B43" s="94" t="s">
        <v>73</v>
      </c>
    </row>
    <row r="44" spans="2:2" x14ac:dyDescent="0.25">
      <c r="B44" s="94" t="s">
        <v>74</v>
      </c>
    </row>
    <row r="46" spans="2:2" ht="17.399999999999999" customHeight="1" x14ac:dyDescent="0.3">
      <c r="B46" s="12" t="s">
        <v>75</v>
      </c>
    </row>
  </sheetData>
  <hyperlinks>
    <hyperlink ref="C7" r:id="rId1" xr:uid="{00000000-0004-0000-0100-000000000000}"/>
    <hyperlink ref="C13" r:id="rId2" display="https://www.vertex42.com/blog/business/pm/new-gantt-chart-for-excel-online.html" xr:uid="{00000000-0004-0000-0100-000001000000}"/>
    <hyperlink ref="B46" r:id="rId3" tooltip="Go to Vertex42.com" display="https://www.vertex42.com/Links/go.php?urlid=GanttChartPro" xr:uid="{00000000-0004-0000-0100-000002000000}"/>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election activeCell="A3" sqref="A3"/>
    </sheetView>
  </sheetViews>
  <sheetFormatPr baseColWidth="10" defaultColWidth="8.88671875" defaultRowHeight="13.2" x14ac:dyDescent="0.25"/>
  <cols>
    <col min="1" max="1" width="5.5546875" style="94" customWidth="1"/>
    <col min="2" max="2" width="90.44140625" style="94" customWidth="1"/>
    <col min="3" max="3" width="16.44140625" style="94" bestFit="1" customWidth="1"/>
    <col min="4" max="4" width="8.88671875" style="94" customWidth="1"/>
    <col min="5" max="16384" width="8.88671875" style="94"/>
  </cols>
  <sheetData>
    <row r="1" spans="1:3" ht="30" customHeight="1" x14ac:dyDescent="0.25">
      <c r="A1" s="24" t="s">
        <v>76</v>
      </c>
      <c r="B1" s="25"/>
    </row>
    <row r="2" spans="1:3" ht="13.8" customHeight="1" x14ac:dyDescent="0.25">
      <c r="A2" s="108" t="s">
        <v>48</v>
      </c>
      <c r="B2" s="2"/>
    </row>
    <row r="3" spans="1:3" x14ac:dyDescent="0.25">
      <c r="B3" s="2"/>
    </row>
    <row r="4" spans="1:3" ht="17.399999999999999" customHeight="1" x14ac:dyDescent="0.3">
      <c r="A4" s="103" t="s">
        <v>77</v>
      </c>
      <c r="B4" s="23"/>
    </row>
    <row r="5" spans="1:3" ht="55.2" customHeight="1" x14ac:dyDescent="0.25">
      <c r="B5" s="109" t="s">
        <v>78</v>
      </c>
    </row>
    <row r="7" spans="1:3" ht="27.6" customHeight="1" x14ac:dyDescent="0.25">
      <c r="B7" s="109" t="s">
        <v>79</v>
      </c>
    </row>
    <row r="9" spans="1:3" ht="13.8" customHeight="1" x14ac:dyDescent="0.25">
      <c r="B9" s="108" t="s">
        <v>80</v>
      </c>
    </row>
    <row r="11" spans="1:3" ht="27.6" customHeight="1" x14ac:dyDescent="0.25">
      <c r="B11" s="107" t="s">
        <v>81</v>
      </c>
    </row>
    <row r="13" spans="1:3" ht="17.399999999999999" customHeight="1" x14ac:dyDescent="0.3">
      <c r="A13" s="141" t="s">
        <v>82</v>
      </c>
      <c r="B13" s="142"/>
    </row>
    <row r="15" spans="1:3" s="104" customFormat="1" ht="17.399999999999999" customHeight="1" x14ac:dyDescent="0.25">
      <c r="A15" s="111"/>
      <c r="B15" s="110" t="s">
        <v>83</v>
      </c>
    </row>
    <row r="16" spans="1:3" s="104" customFormat="1" ht="17.399999999999999" customHeight="1" x14ac:dyDescent="0.25">
      <c r="A16" s="111"/>
      <c r="B16" s="110" t="s">
        <v>84</v>
      </c>
      <c r="C16" s="106" t="s">
        <v>85</v>
      </c>
    </row>
    <row r="17" spans="1:3" ht="17.399999999999999" customHeight="1" x14ac:dyDescent="0.3">
      <c r="A17" s="113"/>
      <c r="B17" s="110" t="s">
        <v>86</v>
      </c>
    </row>
    <row r="18" spans="1:3" ht="17.399999999999999" customHeight="1" x14ac:dyDescent="0.3">
      <c r="A18" s="113"/>
      <c r="B18" s="110" t="s">
        <v>87</v>
      </c>
    </row>
    <row r="19" spans="1:3" ht="17.399999999999999" customHeight="1" x14ac:dyDescent="0.3">
      <c r="A19" s="113"/>
      <c r="B19" s="110" t="s">
        <v>88</v>
      </c>
    </row>
    <row r="20" spans="1:3" s="104" customFormat="1" ht="17.399999999999999" customHeight="1" x14ac:dyDescent="0.25">
      <c r="A20" s="111"/>
      <c r="B20" s="110" t="s">
        <v>89</v>
      </c>
      <c r="C20" s="105" t="s">
        <v>90</v>
      </c>
    </row>
    <row r="21" spans="1:3" ht="17.399999999999999" customHeight="1" x14ac:dyDescent="0.3">
      <c r="A21" s="113"/>
      <c r="B21" s="110" t="s">
        <v>91</v>
      </c>
    </row>
    <row r="22" spans="1:3" ht="17.399999999999999" customHeight="1" x14ac:dyDescent="0.3">
      <c r="A22" s="113"/>
      <c r="B22" s="112" t="s">
        <v>92</v>
      </c>
    </row>
    <row r="23" spans="1:3" ht="17.399999999999999" customHeight="1" x14ac:dyDescent="0.3">
      <c r="A23" s="113"/>
      <c r="B23" s="11"/>
    </row>
    <row r="24" spans="1:3" ht="17.399999999999999" customHeight="1" x14ac:dyDescent="0.3">
      <c r="A24" s="141" t="s">
        <v>93</v>
      </c>
      <c r="B24" s="142"/>
    </row>
    <row r="25" spans="1:3" ht="41.4" customHeight="1" x14ac:dyDescent="0.3">
      <c r="A25" s="113"/>
      <c r="B25" s="110" t="s">
        <v>94</v>
      </c>
    </row>
    <row r="26" spans="1:3" ht="17.399999999999999" customHeight="1" x14ac:dyDescent="0.3">
      <c r="A26" s="113"/>
      <c r="B26" s="110"/>
    </row>
    <row r="27" spans="1:3" ht="17.399999999999999" customHeight="1" x14ac:dyDescent="0.3">
      <c r="A27" s="113"/>
      <c r="B27" s="127" t="s">
        <v>95</v>
      </c>
    </row>
    <row r="28" spans="1:3" ht="17.399999999999999" customHeight="1" x14ac:dyDescent="0.3">
      <c r="A28" s="113"/>
      <c r="B28" s="110" t="s">
        <v>96</v>
      </c>
    </row>
    <row r="29" spans="1:3" ht="27.6" customHeight="1" x14ac:dyDescent="0.3">
      <c r="A29" s="113"/>
      <c r="B29" s="110" t="s">
        <v>97</v>
      </c>
    </row>
    <row r="30" spans="1:3" ht="17.399999999999999" customHeight="1" x14ac:dyDescent="0.3">
      <c r="A30" s="113"/>
      <c r="B30" s="110"/>
    </row>
    <row r="31" spans="1:3" ht="17.399999999999999" customHeight="1" x14ac:dyDescent="0.3">
      <c r="A31" s="113"/>
      <c r="B31" s="127" t="s">
        <v>98</v>
      </c>
    </row>
    <row r="32" spans="1:3" ht="17.399999999999999" customHeight="1" x14ac:dyDescent="0.3">
      <c r="A32" s="113"/>
      <c r="B32" s="110" t="s">
        <v>99</v>
      </c>
    </row>
    <row r="33" spans="1:2" ht="17.399999999999999" customHeight="1" x14ac:dyDescent="0.3">
      <c r="A33" s="113"/>
      <c r="B33" s="110" t="s">
        <v>100</v>
      </c>
    </row>
    <row r="34" spans="1:2" ht="17.399999999999999" customHeight="1" x14ac:dyDescent="0.3">
      <c r="A34" s="113"/>
      <c r="B34" s="11"/>
    </row>
    <row r="35" spans="1:2" ht="27.6" customHeight="1" x14ac:dyDescent="0.3">
      <c r="A35" s="113"/>
      <c r="B35" s="110" t="s">
        <v>101</v>
      </c>
    </row>
    <row r="36" spans="1:2" ht="17.399999999999999" customHeight="1" x14ac:dyDescent="0.3">
      <c r="A36" s="113"/>
      <c r="B36" s="114" t="s">
        <v>102</v>
      </c>
    </row>
    <row r="37" spans="1:2" ht="17.399999999999999" customHeight="1" x14ac:dyDescent="0.3">
      <c r="A37" s="113"/>
      <c r="B37" s="11"/>
    </row>
    <row r="38" spans="1:2" ht="17.399999999999999" customHeight="1" x14ac:dyDescent="0.3">
      <c r="A38" s="141" t="s">
        <v>103</v>
      </c>
      <c r="B38" s="142"/>
    </row>
    <row r="39" spans="1:2" ht="27.6" customHeight="1" x14ac:dyDescent="0.25">
      <c r="B39" s="110" t="s">
        <v>104</v>
      </c>
    </row>
    <row r="41" spans="1:2" ht="13.8" customHeight="1" x14ac:dyDescent="0.25">
      <c r="B41" s="110" t="s">
        <v>105</v>
      </c>
    </row>
    <row r="43" spans="1:2" ht="27.6" customHeight="1" x14ac:dyDescent="0.25">
      <c r="B43" s="110" t="s">
        <v>106</v>
      </c>
    </row>
    <row r="45" spans="1:2" ht="27.6" customHeight="1" x14ac:dyDescent="0.25">
      <c r="B45" s="110" t="s">
        <v>107</v>
      </c>
    </row>
    <row r="46" spans="1:2" x14ac:dyDescent="0.25">
      <c r="B46" s="9"/>
    </row>
    <row r="47" spans="1:2" ht="27.6" customHeight="1" x14ac:dyDescent="0.25">
      <c r="B47" s="110" t="s">
        <v>108</v>
      </c>
    </row>
    <row r="49" spans="1:2" ht="17.399999999999999" customHeight="1" x14ac:dyDescent="0.3">
      <c r="A49" s="141" t="s">
        <v>109</v>
      </c>
      <c r="B49" s="142"/>
    </row>
    <row r="50" spans="1:2" ht="27.6" customHeight="1" x14ac:dyDescent="0.25">
      <c r="B50" s="110" t="s">
        <v>110</v>
      </c>
    </row>
    <row r="52" spans="1:2" ht="13.8" customHeight="1" x14ac:dyDescent="0.25">
      <c r="A52" s="115" t="s">
        <v>111</v>
      </c>
      <c r="B52" s="110" t="s">
        <v>112</v>
      </c>
    </row>
    <row r="53" spans="1:2" ht="13.8" customHeight="1" x14ac:dyDescent="0.25">
      <c r="A53" s="115" t="s">
        <v>113</v>
      </c>
      <c r="B53" s="110" t="s">
        <v>114</v>
      </c>
    </row>
    <row r="54" spans="1:2" ht="13.8" customHeight="1" x14ac:dyDescent="0.25">
      <c r="A54" s="115" t="s">
        <v>115</v>
      </c>
      <c r="B54" s="110" t="s">
        <v>116</v>
      </c>
    </row>
    <row r="55" spans="1:2" ht="28.2" customHeight="1" x14ac:dyDescent="0.25">
      <c r="A55" s="107"/>
      <c r="B55" s="110" t="s">
        <v>117</v>
      </c>
    </row>
    <row r="56" spans="1:2" ht="28.2" customHeight="1" x14ac:dyDescent="0.25">
      <c r="A56" s="107"/>
      <c r="B56" s="110" t="s">
        <v>118</v>
      </c>
    </row>
    <row r="57" spans="1:2" ht="13.8" customHeight="1" x14ac:dyDescent="0.25">
      <c r="A57" s="115" t="s">
        <v>119</v>
      </c>
      <c r="B57" s="110" t="s">
        <v>120</v>
      </c>
    </row>
    <row r="58" spans="1:2" ht="14.4" customHeight="1" x14ac:dyDescent="0.25">
      <c r="A58" s="107"/>
      <c r="B58" s="110" t="s">
        <v>121</v>
      </c>
    </row>
    <row r="59" spans="1:2" ht="14.4" customHeight="1" x14ac:dyDescent="0.25">
      <c r="A59" s="107"/>
      <c r="B59" s="110" t="s">
        <v>122</v>
      </c>
    </row>
    <row r="60" spans="1:2" ht="13.8" customHeight="1" x14ac:dyDescent="0.25">
      <c r="A60" s="115" t="s">
        <v>123</v>
      </c>
      <c r="B60" s="110" t="s">
        <v>124</v>
      </c>
    </row>
    <row r="61" spans="1:2" ht="28.2" customHeight="1" x14ac:dyDescent="0.25">
      <c r="A61" s="107"/>
      <c r="B61" s="110" t="s">
        <v>125</v>
      </c>
    </row>
    <row r="62" spans="1:2" ht="13.8" customHeight="1" x14ac:dyDescent="0.25">
      <c r="A62" s="115" t="s">
        <v>126</v>
      </c>
      <c r="B62" s="110" t="s">
        <v>127</v>
      </c>
    </row>
    <row r="63" spans="1:2" ht="13.8" customHeight="1" x14ac:dyDescent="0.25">
      <c r="A63" s="116"/>
      <c r="B63" s="110" t="s">
        <v>128</v>
      </c>
    </row>
    <row r="64" spans="1:2" x14ac:dyDescent="0.25">
      <c r="B64" s="3"/>
    </row>
    <row r="65" spans="1:2" ht="17.399999999999999" customHeight="1" x14ac:dyDescent="0.3">
      <c r="A65" s="141" t="s">
        <v>129</v>
      </c>
      <c r="B65" s="142"/>
    </row>
    <row r="66" spans="1:2" ht="41.4" customHeight="1" x14ac:dyDescent="0.25">
      <c r="B66" s="110" t="s">
        <v>130</v>
      </c>
    </row>
    <row r="68" spans="1:2" ht="17.399999999999999" customHeight="1" x14ac:dyDescent="0.3">
      <c r="A68" s="141" t="s">
        <v>131</v>
      </c>
      <c r="B68" s="142"/>
    </row>
    <row r="69" spans="1:2" ht="13.8" customHeight="1" x14ac:dyDescent="0.25">
      <c r="A69" s="122" t="s">
        <v>132</v>
      </c>
      <c r="B69" s="123" t="s">
        <v>133</v>
      </c>
    </row>
    <row r="70" spans="1:2" ht="27.6" customHeight="1" x14ac:dyDescent="0.25">
      <c r="A70" s="116"/>
      <c r="B70" s="121" t="s">
        <v>134</v>
      </c>
    </row>
    <row r="71" spans="1:2" ht="13.8" customHeight="1" x14ac:dyDescent="0.25">
      <c r="A71" s="116"/>
      <c r="B71" s="117"/>
    </row>
    <row r="72" spans="1:2" ht="13.8" customHeight="1" x14ac:dyDescent="0.25">
      <c r="A72" s="122" t="s">
        <v>132</v>
      </c>
      <c r="B72" s="123" t="s">
        <v>135</v>
      </c>
    </row>
    <row r="73" spans="1:2" ht="28.2" customHeight="1" x14ac:dyDescent="0.25">
      <c r="A73" s="116"/>
      <c r="B73" s="121" t="s">
        <v>136</v>
      </c>
    </row>
    <row r="74" spans="1:2" ht="13.8" customHeight="1" x14ac:dyDescent="0.25">
      <c r="A74" s="116"/>
      <c r="B74" s="117"/>
    </row>
    <row r="75" spans="1:2" ht="13.8" customHeight="1" x14ac:dyDescent="0.25">
      <c r="A75" s="122" t="s">
        <v>132</v>
      </c>
      <c r="B75" s="126" t="s">
        <v>137</v>
      </c>
    </row>
    <row r="76" spans="1:2" ht="41.4" customHeight="1" x14ac:dyDescent="0.25">
      <c r="A76" s="116"/>
      <c r="B76" s="109" t="s">
        <v>138</v>
      </c>
    </row>
    <row r="77" spans="1:2" ht="13.8" customHeight="1" x14ac:dyDescent="0.25">
      <c r="A77" s="116"/>
      <c r="B77" s="116"/>
    </row>
    <row r="78" spans="1:2" ht="13.8" customHeight="1" x14ac:dyDescent="0.25">
      <c r="A78" s="122" t="s">
        <v>132</v>
      </c>
      <c r="B78" s="126" t="s">
        <v>139</v>
      </c>
    </row>
    <row r="79" spans="1:2" ht="27.6" customHeight="1" x14ac:dyDescent="0.25">
      <c r="A79" s="116"/>
      <c r="B79" s="109" t="s">
        <v>140</v>
      </c>
    </row>
    <row r="80" spans="1:2" ht="13.8" customHeight="1" x14ac:dyDescent="0.25">
      <c r="A80" s="116"/>
      <c r="B80" s="116"/>
    </row>
    <row r="81" spans="1:2" ht="13.8" customHeight="1" x14ac:dyDescent="0.25">
      <c r="A81" s="122" t="s">
        <v>132</v>
      </c>
      <c r="B81" s="126" t="s">
        <v>141</v>
      </c>
    </row>
    <row r="82" spans="1:2" ht="14.4" customHeight="1" x14ac:dyDescent="0.25">
      <c r="A82" s="116"/>
      <c r="B82" s="120" t="s">
        <v>142</v>
      </c>
    </row>
    <row r="83" spans="1:2" ht="14.4" customHeight="1" x14ac:dyDescent="0.25">
      <c r="A83" s="116"/>
      <c r="B83" s="120" t="s">
        <v>143</v>
      </c>
    </row>
    <row r="84" spans="1:2" ht="14.4" customHeight="1" x14ac:dyDescent="0.25">
      <c r="A84" s="116"/>
      <c r="B84" s="120" t="s">
        <v>144</v>
      </c>
    </row>
    <row r="85" spans="1:2" ht="13.8" customHeight="1" x14ac:dyDescent="0.25">
      <c r="A85" s="116"/>
      <c r="B85" s="119"/>
    </row>
    <row r="86" spans="1:2" ht="13.8" customHeight="1" x14ac:dyDescent="0.25">
      <c r="A86" s="122" t="s">
        <v>132</v>
      </c>
      <c r="B86" s="126" t="s">
        <v>145</v>
      </c>
    </row>
    <row r="87" spans="1:2" ht="41.4" customHeight="1" x14ac:dyDescent="0.25">
      <c r="A87" s="116"/>
      <c r="B87" s="109" t="s">
        <v>146</v>
      </c>
    </row>
    <row r="88" spans="1:2" ht="14.4" customHeight="1" x14ac:dyDescent="0.25">
      <c r="A88" s="116"/>
      <c r="B88" s="118" t="s">
        <v>147</v>
      </c>
    </row>
    <row r="89" spans="1:2" ht="41.4" customHeight="1" x14ac:dyDescent="0.25">
      <c r="A89" s="116"/>
      <c r="B89" s="124" t="s">
        <v>148</v>
      </c>
    </row>
    <row r="90" spans="1:2" ht="13.8" customHeight="1" x14ac:dyDescent="0.25">
      <c r="A90" s="116"/>
      <c r="B90" s="116"/>
    </row>
    <row r="91" spans="1:2" ht="13.8" customHeight="1" x14ac:dyDescent="0.25">
      <c r="A91" s="122" t="s">
        <v>132</v>
      </c>
      <c r="B91" s="126" t="s">
        <v>149</v>
      </c>
    </row>
    <row r="92" spans="1:2" ht="27.6" customHeight="1" x14ac:dyDescent="0.25">
      <c r="A92" s="107"/>
      <c r="B92" s="120" t="s">
        <v>150</v>
      </c>
    </row>
    <row r="94" spans="1:2" x14ac:dyDescent="0.25">
      <c r="A94" s="15" t="s">
        <v>151</v>
      </c>
    </row>
  </sheetData>
  <mergeCells count="6">
    <mergeCell ref="A13:B13"/>
    <mergeCell ref="A38:B38"/>
    <mergeCell ref="A24:B24"/>
    <mergeCell ref="A65:B65"/>
    <mergeCell ref="A68:B68"/>
    <mergeCell ref="A49:B49"/>
  </mergeCells>
  <hyperlinks>
    <hyperlink ref="A2" r:id="rId1" xr:uid="{00000000-0004-0000-0200-000000000000}"/>
    <hyperlink ref="B9" r:id="rId2" xr:uid="{00000000-0004-0000-0200-000001000000}"/>
    <hyperlink ref="B36" r:id="rId3" xr:uid="{00000000-0004-0000-0200-000002000000}"/>
  </hyperlinks>
  <pageMargins left="0.5" right="0.5" top="0.25" bottom="0.25" header="0.5" footer="0.5"/>
  <pageSetup orientation="portrait"/>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baseColWidth="10" defaultColWidth="8.88671875" defaultRowHeight="13.2" x14ac:dyDescent="0.25"/>
  <cols>
    <col min="1" max="1" width="5.5546875" style="94" customWidth="1"/>
    <col min="2" max="2" width="82.109375" style="94" customWidth="1"/>
    <col min="3" max="3" width="8.88671875" style="28" customWidth="1"/>
    <col min="4" max="16384" width="8.88671875" style="28"/>
  </cols>
  <sheetData>
    <row r="1" spans="1:3" ht="30" customHeight="1" x14ac:dyDescent="0.25">
      <c r="A1" s="24" t="s">
        <v>152</v>
      </c>
      <c r="B1" s="24"/>
    </row>
    <row r="2" spans="1:3" ht="15" customHeight="1" x14ac:dyDescent="0.25">
      <c r="B2" s="29"/>
    </row>
    <row r="3" spans="1:3" ht="15" customHeight="1" x14ac:dyDescent="0.25">
      <c r="A3" s="26"/>
      <c r="B3" s="20" t="s">
        <v>153</v>
      </c>
      <c r="C3" s="27"/>
    </row>
    <row r="4" spans="1:3" ht="13.8" customHeight="1" x14ac:dyDescent="0.25">
      <c r="A4" s="4"/>
      <c r="B4" s="22" t="s">
        <v>48</v>
      </c>
      <c r="C4" s="5"/>
    </row>
    <row r="5" spans="1:3" ht="15" customHeight="1" x14ac:dyDescent="0.25">
      <c r="A5" s="4"/>
      <c r="B5" s="6"/>
      <c r="C5" s="5"/>
    </row>
    <row r="6" spans="1:3" ht="15.6" customHeight="1" x14ac:dyDescent="0.3">
      <c r="A6" s="4"/>
      <c r="B6" s="7" t="s">
        <v>151</v>
      </c>
      <c r="C6" s="5"/>
    </row>
    <row r="7" spans="1:3" ht="15" customHeight="1" x14ac:dyDescent="0.25">
      <c r="A7" s="4"/>
      <c r="B7" s="6"/>
      <c r="C7" s="5"/>
    </row>
    <row r="8" spans="1:3" ht="30" customHeight="1" x14ac:dyDescent="0.25">
      <c r="A8" s="4"/>
      <c r="B8" s="6" t="s">
        <v>154</v>
      </c>
      <c r="C8" s="5"/>
    </row>
    <row r="9" spans="1:3" ht="15" customHeight="1" x14ac:dyDescent="0.25">
      <c r="A9" s="4"/>
      <c r="B9" s="6"/>
      <c r="C9" s="5"/>
    </row>
    <row r="10" spans="1:3" ht="46.2" customHeight="1" x14ac:dyDescent="0.25">
      <c r="A10" s="4"/>
      <c r="B10" s="6" t="s">
        <v>155</v>
      </c>
      <c r="C10" s="5"/>
    </row>
    <row r="11" spans="1:3" ht="15" customHeight="1" x14ac:dyDescent="0.25">
      <c r="A11" s="4"/>
      <c r="B11" s="6"/>
      <c r="C11" s="5"/>
    </row>
    <row r="12" spans="1:3" ht="45" customHeight="1" x14ac:dyDescent="0.25">
      <c r="A12" s="4"/>
      <c r="B12" s="6" t="s">
        <v>156</v>
      </c>
      <c r="C12" s="5"/>
    </row>
    <row r="13" spans="1:3" ht="15" customHeight="1" x14ac:dyDescent="0.25">
      <c r="A13" s="4"/>
      <c r="B13" s="6"/>
      <c r="C13" s="5"/>
    </row>
    <row r="14" spans="1:3" ht="60" customHeight="1" x14ac:dyDescent="0.25">
      <c r="A14" s="4"/>
      <c r="B14" s="6" t="s">
        <v>157</v>
      </c>
      <c r="C14" s="5"/>
    </row>
    <row r="15" spans="1:3" ht="15" customHeight="1" x14ac:dyDescent="0.25">
      <c r="A15" s="4"/>
      <c r="B15" s="6"/>
      <c r="C15" s="5"/>
    </row>
    <row r="16" spans="1:3" ht="30.6" customHeight="1" x14ac:dyDescent="0.25">
      <c r="A16" s="4"/>
      <c r="B16" s="6" t="s">
        <v>158</v>
      </c>
      <c r="C16" s="5"/>
    </row>
    <row r="17" spans="1:3" ht="15" customHeight="1" x14ac:dyDescent="0.25">
      <c r="A17" s="4"/>
      <c r="B17" s="6"/>
      <c r="C17" s="5"/>
    </row>
    <row r="18" spans="1:3" ht="15.6" customHeight="1" x14ac:dyDescent="0.3">
      <c r="A18" s="4"/>
      <c r="B18" s="7" t="s">
        <v>159</v>
      </c>
      <c r="C18" s="5"/>
    </row>
    <row r="19" spans="1:3" ht="15" customHeight="1" x14ac:dyDescent="0.25">
      <c r="A19" s="4"/>
      <c r="B19" s="21" t="s">
        <v>160</v>
      </c>
      <c r="C19" s="5"/>
    </row>
    <row r="20" spans="1:3" ht="15" customHeight="1" x14ac:dyDescent="0.25">
      <c r="A20" s="4"/>
      <c r="B20" s="8"/>
      <c r="C20" s="5"/>
    </row>
    <row r="21" spans="1:3" x14ac:dyDescent="0.25">
      <c r="A21" s="4"/>
      <c r="B21" s="4"/>
      <c r="C21" s="5"/>
    </row>
    <row r="22" spans="1:3" x14ac:dyDescent="0.25">
      <c r="A22" s="4"/>
      <c r="B22" s="4"/>
      <c r="C22" s="5"/>
    </row>
    <row r="23" spans="1:3" x14ac:dyDescent="0.25">
      <c r="A23" s="4"/>
      <c r="B23" s="4"/>
      <c r="C23" s="5"/>
    </row>
    <row r="24" spans="1:3" x14ac:dyDescent="0.25">
      <c r="A24" s="4"/>
      <c r="B24" s="4"/>
      <c r="C24" s="5"/>
    </row>
    <row r="25" spans="1:3" x14ac:dyDescent="0.25">
      <c r="A25" s="4"/>
      <c r="B25" s="4"/>
      <c r="C25" s="5"/>
    </row>
    <row r="26" spans="1:3" x14ac:dyDescent="0.25">
      <c r="A26" s="4"/>
      <c r="B26" s="4"/>
      <c r="C26" s="5"/>
    </row>
    <row r="27" spans="1:3" x14ac:dyDescent="0.25">
      <c r="A27" s="4"/>
      <c r="B27" s="4"/>
      <c r="C27" s="5"/>
    </row>
    <row r="28" spans="1:3" x14ac:dyDescent="0.25">
      <c r="A28" s="4"/>
      <c r="B28" s="4"/>
      <c r="C28" s="5"/>
    </row>
    <row r="29" spans="1:3" x14ac:dyDescent="0.25">
      <c r="A29" s="4"/>
      <c r="B29" s="4"/>
      <c r="C29" s="5"/>
    </row>
  </sheetData>
  <hyperlinks>
    <hyperlink ref="B4" r:id="rId1" xr:uid="{00000000-0004-0000-0300-000000000000}"/>
    <hyperlink ref="B19" r:id="rId2" xr:uid="{00000000-0004-0000-0300-000001000000}"/>
  </hyperlinks>
  <pageMargins left="0.7" right="0.7" top="0.75" bottom="0.75" header="0.3" footer="0.3"/>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GanttChart</vt:lpstr>
      <vt:lpstr>GanttChartPro</vt:lpstr>
      <vt:lpstr>Help</vt:lpstr>
      <vt:lpstr>TermsOfUse</vt:lpstr>
      <vt:lpstr>GanttChart!Área_de_impresión</vt:lpstr>
      <vt:lpstr>GanttChartPro!Área_de_impresión</vt:lpstr>
      <vt:lpstr>GanttChart!prevWBS</vt:lpstr>
      <vt:lpstr>GanttChart!Títulos_a_imprimir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Damian Rigoletti</cp:lastModifiedBy>
  <cp:lastPrinted>2018-02-12T20:25:38Z</cp:lastPrinted>
  <dcterms:created xsi:type="dcterms:W3CDTF">2010-06-09T16:05:03Z</dcterms:created>
  <dcterms:modified xsi:type="dcterms:W3CDTF">2026-06-22T14:08:05Z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